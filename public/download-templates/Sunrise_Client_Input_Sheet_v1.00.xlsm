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/>
  <xr:revisionPtr revIDLastSave="538" documentId="13_ncr:1_{7E39C54D-C455-4F2C-9ABF-C6231208819B}" xr6:coauthVersionLast="47" xr6:coauthVersionMax="47" xr10:uidLastSave="{2276CFFF-9545-471E-B414-AE42D40E8A42}"/>
  <bookViews>
    <workbookView xWindow="-120" yWindow="-120" windowWidth="29040" windowHeight="15840" xr2:uid="{00000000-000D-0000-FFFF-FFFF00000000}"/>
  </bookViews>
  <sheets>
    <sheet name="Input" sheetId="1" r:id="rId1"/>
    <sheet name="Ref_Sheet" sheetId="2" state="hidden" r:id="rId2"/>
    <sheet name="MDI_Template" sheetId="3" r:id="rId3"/>
  </sheets>
  <definedNames>
    <definedName name="Copy_Range">Input!$N$6:$N$41</definedName>
    <definedName name="Ctrl_Check">Input!$N$3</definedName>
    <definedName name="Hidden_Range">Input!$J:$J,Input!$M:$O</definedName>
    <definedName name="Input_Range">Input!$D$6:$D$13,Input!$I$6:$I$48</definedName>
    <definedName name="Line_Flag">Input!$N$5</definedName>
    <definedName name="MDI_Copy_Range">Input!$N$6:$N$41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1" l="1"/>
  <c r="K23" i="1"/>
  <c r="K18" i="1"/>
  <c r="K17" i="1"/>
  <c r="K16" i="1"/>
  <c r="K15" i="1"/>
  <c r="K22" i="1"/>
  <c r="N41" i="1"/>
  <c r="N40" i="1"/>
  <c r="N39" i="1"/>
  <c r="N38" i="1"/>
  <c r="N37" i="1"/>
  <c r="N36" i="1"/>
  <c r="N35" i="1"/>
  <c r="N34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1" i="1"/>
  <c r="N10" i="1"/>
  <c r="N8" i="1"/>
  <c r="N12" i="1"/>
  <c r="E13" i="1"/>
  <c r="K21" i="1"/>
  <c r="K20" i="1"/>
  <c r="K19" i="1"/>
  <c r="K8" i="1"/>
  <c r="K9" i="1"/>
  <c r="K10" i="1"/>
  <c r="K11" i="1"/>
  <c r="K12" i="1"/>
  <c r="K13" i="1"/>
  <c r="K14" i="1"/>
  <c r="K7" i="1"/>
  <c r="K6" i="1"/>
  <c r="N6" i="1"/>
  <c r="N9" i="1"/>
  <c r="E12" i="1"/>
  <c r="E11" i="1"/>
  <c r="E7" i="1"/>
  <c r="E9" i="1"/>
  <c r="N3" i="1" l="1"/>
  <c r="N33" i="1"/>
</calcChain>
</file>

<file path=xl/sharedStrings.xml><?xml version="1.0" encoding="utf-8"?>
<sst xmlns="http://schemas.openxmlformats.org/spreadsheetml/2006/main" count="1180" uniqueCount="1046">
  <si>
    <t>stress_scenario</t>
  </si>
  <si>
    <r>
      <rPr>
        <sz val="11"/>
        <color rgb="FFC26D18"/>
        <rFont val="Calibri Light"/>
        <family val="2"/>
        <scheme val="major"/>
      </rPr>
      <t>Year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select which year the financials are from</t>
    </r>
  </si>
  <si>
    <t>^</t>
  </si>
  <si>
    <r>
      <rPr>
        <sz val="11"/>
        <color rgb="FFC26D18"/>
        <rFont val="Calibri Light"/>
        <family val="2"/>
        <scheme val="major"/>
      </rPr>
      <t>Company Name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enter the company name</t>
    </r>
  </si>
  <si>
    <r>
      <t xml:space="preserve">Shareholder Equity
</t>
    </r>
    <r>
      <rPr>
        <sz val="9"/>
        <color theme="6" tint="-0.499984740745262"/>
        <rFont val="Calibri Light"/>
        <family val="2"/>
        <scheme val="major"/>
      </rPr>
      <t>All items under shareholder funds (inc Share capital, Share premiums and retained earnings)</t>
    </r>
  </si>
  <si>
    <r>
      <rPr>
        <sz val="11"/>
        <color rgb="FFC26D18"/>
        <rFont val="Calibri Light"/>
        <family val="2"/>
        <scheme val="major"/>
      </rPr>
      <t>Country ISO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select the country where the company is located</t>
    </r>
  </si>
  <si>
    <r>
      <t xml:space="preserve">Retained Earnings
</t>
    </r>
    <r>
      <rPr>
        <sz val="9"/>
        <color theme="6" tint="-0.499984740745262"/>
        <rFont val="Calibri Light"/>
        <family val="2"/>
        <scheme val="major"/>
      </rPr>
      <t>Accumulated net income subsequent to withdrawals as dividends under shareholder funds section of the balance sheet</t>
    </r>
  </si>
  <si>
    <t>Africa</t>
  </si>
  <si>
    <r>
      <t xml:space="preserve">Tangible Assets
</t>
    </r>
    <r>
      <rPr>
        <sz val="9"/>
        <color theme="6" tint="-0.499984740745262"/>
        <rFont val="Calibri Light"/>
        <family val="2"/>
        <scheme val="major"/>
      </rPr>
      <t>All Tangible assets within Fixed Assets such as machinery, buildings and land</t>
    </r>
  </si>
  <si>
    <r>
      <rPr>
        <sz val="11"/>
        <color rgb="FFC26D18"/>
        <rFont val="Calibri Light"/>
        <family val="2"/>
        <scheme val="major"/>
      </rPr>
      <t>Currency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select the currency of the financial statements</t>
    </r>
  </si>
  <si>
    <t>Barbados Dollars</t>
  </si>
  <si>
    <r>
      <t xml:space="preserve">Intangible Assets
</t>
    </r>
    <r>
      <rPr>
        <sz val="9"/>
        <color theme="6" tint="-0.499984740745262"/>
        <rFont val="Calibri Light"/>
        <family val="2"/>
        <scheme val="major"/>
      </rPr>
      <t>All operational fixed assets which lack physical substance such as patents, copyrights, trademarks, franchises and goodwill</t>
    </r>
  </si>
  <si>
    <t>nacecode</t>
  </si>
  <si>
    <r>
      <rPr>
        <sz val="11"/>
        <color rgb="FFC26D18"/>
        <rFont val="Calibri Light"/>
        <family val="2"/>
        <scheme val="major"/>
      </rPr>
      <t>Industry Sector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select the closet indutry sector for the company</t>
    </r>
  </si>
  <si>
    <t>Banking, Insurance &amp; Financial Services</t>
  </si>
  <si>
    <r>
      <t xml:space="preserve">Cash Equivalent
</t>
    </r>
    <r>
      <rPr>
        <sz val="9"/>
        <color theme="6" tint="-0.499984740745262"/>
        <rFont val="Calibri Light"/>
        <family val="2"/>
        <scheme val="major"/>
      </rPr>
      <t>Includes: currency, coins, checks received but not yet deposited, checking accounts, petty cash, savings accounts, etc.</t>
    </r>
  </si>
  <si>
    <t>currency</t>
  </si>
  <si>
    <t>Forestry and logging</t>
  </si>
  <si>
    <r>
      <t xml:space="preserve">Total Assets
</t>
    </r>
    <r>
      <rPr>
        <sz val="9"/>
        <color theme="6" tint="-0.499984740745262"/>
        <rFont val="Calibri Light"/>
        <family val="2"/>
        <scheme val="major"/>
      </rPr>
      <t>All current and non-current assets owned by the firm based on the purchase price</t>
    </r>
  </si>
  <si>
    <r>
      <t xml:space="preserve">Short Term Debt
</t>
    </r>
    <r>
      <rPr>
        <sz val="9"/>
        <color theme="6" tint="-0.499984740745262"/>
        <rFont val="Calibri Light"/>
        <family val="2"/>
        <scheme val="major"/>
      </rPr>
      <t>All financial (loans) and commercial debt (creditors) due within one year, excluding any other forms of current liabilities</t>
    </r>
  </si>
  <si>
    <r>
      <t xml:space="preserve">Long Term Debt
</t>
    </r>
    <r>
      <rPr>
        <sz val="9"/>
        <color theme="6" tint="-0.499984740745262"/>
        <rFont val="Calibri Light"/>
        <family val="2"/>
        <scheme val="major"/>
      </rPr>
      <t>All financial debt owed for a period exceeding 12 months from date of reporting (bank loan, debenture and mortgage loans)</t>
    </r>
  </si>
  <si>
    <r>
      <t xml:space="preserve">Total Liabilities
</t>
    </r>
    <r>
      <rPr>
        <sz val="9"/>
        <color theme="6" tint="-0.499984740745262"/>
        <rFont val="Calibri Light"/>
        <family val="2"/>
        <scheme val="major"/>
      </rPr>
      <t xml:space="preserve">The sum of short term and long term liabilities  </t>
    </r>
  </si>
  <si>
    <t>ü</t>
  </si>
  <si>
    <r>
      <t xml:space="preserve">Working Capital
</t>
    </r>
    <r>
      <rPr>
        <sz val="9"/>
        <color theme="6" tint="-0.499984740745262"/>
        <rFont val="Calibri Light"/>
        <family val="2"/>
        <scheme val="major"/>
      </rPr>
      <t>Capital used in the daily operations: (stock [inventory] + debtors - creditors)</t>
    </r>
    <r>
      <rPr>
        <sz val="11"/>
        <color rgb="FFC26D18"/>
        <rFont val="Calibri Light"/>
        <family val="2"/>
        <scheme val="major"/>
      </rPr>
      <t xml:space="preserve"> </t>
    </r>
    <r>
      <rPr>
        <sz val="9"/>
        <color theme="6" tint="-0.499984740745262"/>
        <rFont val="Calibri Light"/>
        <family val="2"/>
        <scheme val="major"/>
      </rPr>
      <t>[or] (Current Assest - Current Liabilities)</t>
    </r>
  </si>
  <si>
    <r>
      <t xml:space="preserve">Turnover
</t>
    </r>
    <r>
      <rPr>
        <sz val="9"/>
        <color theme="6" tint="-0.499984740745262"/>
        <rFont val="Calibri Light"/>
        <family val="2"/>
        <scheme val="major"/>
      </rPr>
      <t>Total earnings from daily operations from sale of goods and services to customers also to known as Revenue/Sales</t>
    </r>
  </si>
  <si>
    <r>
      <t xml:space="preserve">Earnings before Interest and Tax
</t>
    </r>
    <r>
      <rPr>
        <sz val="9"/>
        <color theme="6" tint="-0.499984740745262"/>
        <rFont val="Calibri Light"/>
        <family val="2"/>
        <scheme val="major"/>
      </rPr>
      <t>Also recorded in the income statement as operating profit/loss. It is the firm’s profitability from its operations</t>
    </r>
  </si>
  <si>
    <r>
      <t xml:space="preserve">EBITDA
</t>
    </r>
    <r>
      <rPr>
        <sz val="9"/>
        <color theme="6" tint="-0.499984740745262"/>
        <rFont val="Calibri Light"/>
        <family val="2"/>
        <scheme val="major"/>
      </rPr>
      <t>EBITDA is essentially net income with interest, taxes, depreciation and amortization added back to it</t>
    </r>
  </si>
  <si>
    <r>
      <t xml:space="preserve">Interest Expenses
</t>
    </r>
    <r>
      <rPr>
        <sz val="9"/>
        <color theme="6" tint="-0.499984740745262"/>
        <rFont val="Calibri Light"/>
        <family val="2"/>
        <scheme val="major"/>
      </rPr>
      <t>The interest payable on borrowings recorded on the income statement</t>
    </r>
  </si>
  <si>
    <r>
      <t xml:space="preserve">Net Income
</t>
    </r>
    <r>
      <rPr>
        <sz val="9"/>
        <color theme="6" tint="-0.499984740745262"/>
        <rFont val="Calibri Light"/>
        <family val="2"/>
        <scheme val="major"/>
      </rPr>
      <t>Residual of all the income and revenues over expenses and losses for the period. Alternatively referred to as Profit After Tax</t>
    </r>
  </si>
  <si>
    <r>
      <t xml:space="preserve">Number of Directors
</t>
    </r>
    <r>
      <rPr>
        <sz val="9"/>
        <color theme="6" tint="-0.499984740745262"/>
        <rFont val="Calibri Light"/>
        <family val="2"/>
        <scheme val="major"/>
      </rPr>
      <t>Sum of total executive and non-executive directors of the corporation</t>
    </r>
  </si>
  <si>
    <r>
      <t xml:space="preserve">Number of Employees
</t>
    </r>
    <r>
      <rPr>
        <sz val="9"/>
        <color theme="6" tint="-0.499984740745262"/>
        <rFont val="Calibri Light"/>
        <family val="2"/>
        <scheme val="major"/>
      </rPr>
      <t>Total number of employees legally contracted by the corporation</t>
    </r>
  </si>
  <si>
    <t>score_data__number_employees</t>
  </si>
  <si>
    <r>
      <t>Country Name</t>
    </r>
    <r>
      <rPr>
        <sz val="10"/>
        <color theme="1"/>
        <rFont val="Calibri"/>
        <family val="2"/>
        <scheme val="minor"/>
      </rPr>
      <t> </t>
    </r>
  </si>
  <si>
    <r>
      <t>Country ISO Code</t>
    </r>
    <r>
      <rPr>
        <sz val="10"/>
        <color theme="1"/>
        <rFont val="Calibri"/>
        <family val="2"/>
        <scheme val="minor"/>
      </rPr>
      <t> </t>
    </r>
  </si>
  <si>
    <t>Industry_sector_str</t>
  </si>
  <si>
    <t>Industry_sector</t>
  </si>
  <si>
    <t>Category</t>
  </si>
  <si>
    <t>Country</t>
  </si>
  <si>
    <t>Code</t>
  </si>
  <si>
    <t>Years</t>
  </si>
  <si>
    <t>Regions</t>
  </si>
  <si>
    <t>Agriculture, Horticulture &amp; Livestock</t>
  </si>
  <si>
    <t>Crop and animal production, hunting and related service activities</t>
  </si>
  <si>
    <t>United Arab Emirates Dirhams</t>
  </si>
  <si>
    <t>AED</t>
  </si>
  <si>
    <t>Mining &amp; Extraction</t>
  </si>
  <si>
    <t>Afghanistan Afghanis</t>
  </si>
  <si>
    <t>AFN</t>
  </si>
  <si>
    <t>Asia</t>
  </si>
  <si>
    <t>Utilities</t>
  </si>
  <si>
    <t>Fishing and aquaculture</t>
  </si>
  <si>
    <t>Albania Leke</t>
  </si>
  <si>
    <t>ALL</t>
  </si>
  <si>
    <t>Caribbean</t>
  </si>
  <si>
    <t>Construction</t>
  </si>
  <si>
    <t>Mining of coal and lignite</t>
  </si>
  <si>
    <t>Armenia Drams</t>
  </si>
  <si>
    <t>AMD</t>
  </si>
  <si>
    <t>Central America</t>
  </si>
  <si>
    <t>Food &amp; Tobacco Manufacturing</t>
  </si>
  <si>
    <t>Extraction of crude petroleum and natural gas</t>
  </si>
  <si>
    <t>Netherlands Antilles Guilders Florins</t>
  </si>
  <si>
    <t>ANG</t>
  </si>
  <si>
    <t>Europe</t>
  </si>
  <si>
    <t>AL</t>
  </si>
  <si>
    <t>Textiles &amp; Clothing Manufacturing</t>
  </si>
  <si>
    <t>Mining of metal ores</t>
  </si>
  <si>
    <t>Angola Kwanza</t>
  </si>
  <si>
    <t>AOA</t>
  </si>
  <si>
    <t>North America</t>
  </si>
  <si>
    <t>AD</t>
  </si>
  <si>
    <t>Wood, Furniture &amp; Paper Manufacturing</t>
  </si>
  <si>
    <t>Other mining and quarrying</t>
  </si>
  <si>
    <t>Argentina Pesos</t>
  </si>
  <si>
    <t>ARS</t>
  </si>
  <si>
    <t>Oceania</t>
  </si>
  <si>
    <t>AT</t>
  </si>
  <si>
    <t>Printing &amp; Publishing</t>
  </si>
  <si>
    <t>Mining support service activities</t>
  </si>
  <si>
    <t>Australia Dollars</t>
  </si>
  <si>
    <t>AUD</t>
  </si>
  <si>
    <t>South America</t>
  </si>
  <si>
    <t>BY</t>
  </si>
  <si>
    <t>Chemicals, Petroleum, Rubber &amp; Plastic</t>
  </si>
  <si>
    <t>Manufacture of food products</t>
  </si>
  <si>
    <t>Aruba Guilders Florins</t>
  </si>
  <si>
    <t>AWG</t>
  </si>
  <si>
    <t>BE</t>
  </si>
  <si>
    <t>Leather, Stone, Clay &amp; Glass products</t>
  </si>
  <si>
    <t>Manufacture of beverages</t>
  </si>
  <si>
    <t>Azerbaijan New Manats</t>
  </si>
  <si>
    <t>AZN</t>
  </si>
  <si>
    <t>BA</t>
  </si>
  <si>
    <t>Metals &amp; Metal Products</t>
  </si>
  <si>
    <t>Manufacture of tobacco products</t>
  </si>
  <si>
    <t>Bosnia and Herzegovina Convertible Marka</t>
  </si>
  <si>
    <t>BAM</t>
  </si>
  <si>
    <t>BG</t>
  </si>
  <si>
    <t>Industrial, Electric &amp; Electronic Machinery</t>
  </si>
  <si>
    <t>Manufacture of textiles</t>
  </si>
  <si>
    <t>BBD</t>
  </si>
  <si>
    <t>HR</t>
  </si>
  <si>
    <t>Computer Hardware</t>
  </si>
  <si>
    <t>Manufacture of wearing apparel</t>
  </si>
  <si>
    <t>Bangladesh Taka</t>
  </si>
  <si>
    <t>BDT</t>
  </si>
  <si>
    <t>CY</t>
  </si>
  <si>
    <t>Communications</t>
  </si>
  <si>
    <t>Manufacture of leather and related products</t>
  </si>
  <si>
    <t>Bulgaria Leva</t>
  </si>
  <si>
    <t>BGN</t>
  </si>
  <si>
    <t>CZ</t>
  </si>
  <si>
    <t>Transport Manufacturing</t>
  </si>
  <si>
    <t>Manufacture of wood and of products of wood and cork, except furniture; manufacture of articles of straw and plaiting materials</t>
  </si>
  <si>
    <t>Bahrain Dinars</t>
  </si>
  <si>
    <t>BHD</t>
  </si>
  <si>
    <t>DK</t>
  </si>
  <si>
    <t>Miscellaneous Manufacturing</t>
  </si>
  <si>
    <t>Manufacture of paper and paper products</t>
  </si>
  <si>
    <t>Burundi Francs</t>
  </si>
  <si>
    <t>BIF</t>
  </si>
  <si>
    <t>EE</t>
  </si>
  <si>
    <t>Wholesale</t>
  </si>
  <si>
    <t>Printing and reproduction of recorded media</t>
  </si>
  <si>
    <t>Bermuda Dollars</t>
  </si>
  <si>
    <t>BMD</t>
  </si>
  <si>
    <t>FI</t>
  </si>
  <si>
    <t>Retail</t>
  </si>
  <si>
    <t>Manufacture of coke and refined petroleum products</t>
  </si>
  <si>
    <t>Brunei Darussalam Dollars</t>
  </si>
  <si>
    <t>BND</t>
  </si>
  <si>
    <t>FR</t>
  </si>
  <si>
    <t>Transport, Freight &amp; Storage</t>
  </si>
  <si>
    <t>Manufacture of chemicals and chemical products</t>
  </si>
  <si>
    <t>Bolivia Bolivianos</t>
  </si>
  <si>
    <t>BOB</t>
  </si>
  <si>
    <t>DE</t>
  </si>
  <si>
    <t>Travel, Personal &amp; Leisure</t>
  </si>
  <si>
    <t>Manufacture of basic pharmaceutical products and pharmaceutical preparations</t>
  </si>
  <si>
    <t>Brazil Brazil Real</t>
  </si>
  <si>
    <t>BRL</t>
  </si>
  <si>
    <t>GI</t>
  </si>
  <si>
    <t>Computer Software</t>
  </si>
  <si>
    <t>Manufacture of rubber and plastic products</t>
  </si>
  <si>
    <t>Bahamas Dollars</t>
  </si>
  <si>
    <t>BSD</t>
  </si>
  <si>
    <t>GR</t>
  </si>
  <si>
    <t>Media &amp; Broadcasting</t>
  </si>
  <si>
    <t>Manufacture of other non-metallic mineral products</t>
  </si>
  <si>
    <t>Bhutan Ngultrum</t>
  </si>
  <si>
    <t>BTN</t>
  </si>
  <si>
    <t>HU</t>
  </si>
  <si>
    <t>Manufacture of basic metals</t>
  </si>
  <si>
    <t>Botswana Pulas</t>
  </si>
  <si>
    <t>BWP</t>
  </si>
  <si>
    <t>IS</t>
  </si>
  <si>
    <t>Property Services</t>
  </si>
  <si>
    <t>Manufacture of fabricated metal products, except machinery and equipment</t>
  </si>
  <si>
    <t>Belarus Rubles</t>
  </si>
  <si>
    <t>BYR</t>
  </si>
  <si>
    <t>IE</t>
  </si>
  <si>
    <t>Business Services</t>
  </si>
  <si>
    <t>Manufacture of computer, electronic and optical products</t>
  </si>
  <si>
    <t>Belize Dollars</t>
  </si>
  <si>
    <t>BZD</t>
  </si>
  <si>
    <t>IT</t>
  </si>
  <si>
    <t>Biotechnology and Life Sciences</t>
  </si>
  <si>
    <t>Manufacture of electrical equipment</t>
  </si>
  <si>
    <t>Canada Dollars</t>
  </si>
  <si>
    <t>CAD</t>
  </si>
  <si>
    <t>Information Services</t>
  </si>
  <si>
    <t>Manufacture of machinery and equipment nec</t>
  </si>
  <si>
    <t>Congo/Kinshasa Congolese Francs</t>
  </si>
  <si>
    <t>CDF</t>
  </si>
  <si>
    <t>LV</t>
  </si>
  <si>
    <t>Public Administration, Education, Health Social Services</t>
  </si>
  <si>
    <t>Manufacture of motor vehicles, trailers and semi-trailers</t>
  </si>
  <si>
    <t>Switzerland Francs</t>
  </si>
  <si>
    <t>CHF</t>
  </si>
  <si>
    <t>LI</t>
  </si>
  <si>
    <t>Waste Management &amp; Treatment</t>
  </si>
  <si>
    <t>Manufacture of other transport equipment</t>
  </si>
  <si>
    <t>Chile Pesos</t>
  </si>
  <si>
    <t>CLP</t>
  </si>
  <si>
    <t>LT</t>
  </si>
  <si>
    <t>Manufacture of furniture</t>
  </si>
  <si>
    <t>China Yuan Renminbi</t>
  </si>
  <si>
    <t>CNY</t>
  </si>
  <si>
    <t>LU</t>
  </si>
  <si>
    <t>Other manufacturing</t>
  </si>
  <si>
    <t>Columbia Pesos</t>
  </si>
  <si>
    <t>COP</t>
  </si>
  <si>
    <t>MK</t>
  </si>
  <si>
    <t>Repair and installation of machinery and equipment</t>
  </si>
  <si>
    <t>Costa Rica Colones</t>
  </si>
  <si>
    <t>CRC</t>
  </si>
  <si>
    <t>MT</t>
  </si>
  <si>
    <t>Electricity, gas, steam and air conditioning supply</t>
  </si>
  <si>
    <t>Cuba Pesos</t>
  </si>
  <si>
    <t>CUP</t>
  </si>
  <si>
    <t>MD</t>
  </si>
  <si>
    <t>Water collection, treatment and supply</t>
  </si>
  <si>
    <t>Cape Verde Escudos</t>
  </si>
  <si>
    <t>CVE</t>
  </si>
  <si>
    <t>MC</t>
  </si>
  <si>
    <t>Sewerage</t>
  </si>
  <si>
    <t>Czech Republic Koruny</t>
  </si>
  <si>
    <t>CZK</t>
  </si>
  <si>
    <t>ME</t>
  </si>
  <si>
    <t>Waste collection, treatment and disposal activities; materials recovery</t>
  </si>
  <si>
    <t>Djibouti Francs</t>
  </si>
  <si>
    <t>DJF</t>
  </si>
  <si>
    <t>NL</t>
  </si>
  <si>
    <t>Remediation activities and other waste management services</t>
  </si>
  <si>
    <t>Denmark Kroner</t>
  </si>
  <si>
    <t>DKK</t>
  </si>
  <si>
    <t>NO</t>
  </si>
  <si>
    <t>Construction of buildings</t>
  </si>
  <si>
    <t>Dominican Republic Pesos</t>
  </si>
  <si>
    <t>DOP</t>
  </si>
  <si>
    <t>PL</t>
  </si>
  <si>
    <t>Civil engineering</t>
  </si>
  <si>
    <t>Algeria Algeria Dinars</t>
  </si>
  <si>
    <t>DZD</t>
  </si>
  <si>
    <t>PT</t>
  </si>
  <si>
    <t>Specialised construction activities</t>
  </si>
  <si>
    <t>Estonia Krooni</t>
  </si>
  <si>
    <t>EEK</t>
  </si>
  <si>
    <t>RO</t>
  </si>
  <si>
    <t>Wholesale and retail trade and repair of motor vehicles and motorcycles</t>
  </si>
  <si>
    <t>Egypt Pounds</t>
  </si>
  <si>
    <t>EGP</t>
  </si>
  <si>
    <t>RU</t>
  </si>
  <si>
    <t>Wholesale trade, except of motor vehicles and motorcycles</t>
  </si>
  <si>
    <t>Eritrea Nakfa</t>
  </si>
  <si>
    <t>ERN</t>
  </si>
  <si>
    <t>SM</t>
  </si>
  <si>
    <t>Retail trade, except of motor vehicles and motorcycles</t>
  </si>
  <si>
    <t>Ethopia Birr</t>
  </si>
  <si>
    <t>ETB</t>
  </si>
  <si>
    <t>RS</t>
  </si>
  <si>
    <t>Land transport and transport via pipelines</t>
  </si>
  <si>
    <t>Euro Member Countries Euro</t>
  </si>
  <si>
    <t>EUR</t>
  </si>
  <si>
    <t>SK</t>
  </si>
  <si>
    <t>Water transport</t>
  </si>
  <si>
    <t>Fiji Dollars</t>
  </si>
  <si>
    <t>FJD</t>
  </si>
  <si>
    <t>SI</t>
  </si>
  <si>
    <t>Air transport</t>
  </si>
  <si>
    <t>Falkland Islands (Malvinas) Pounds</t>
  </si>
  <si>
    <t>FKP</t>
  </si>
  <si>
    <t>ES</t>
  </si>
  <si>
    <t>Warehousing and support activities for transportation</t>
  </si>
  <si>
    <t>United Kingdom Pounds</t>
  </si>
  <si>
    <t>GBP</t>
  </si>
  <si>
    <t>SE</t>
  </si>
  <si>
    <t>Postal and courier activities</t>
  </si>
  <si>
    <t>Georgia Lari</t>
  </si>
  <si>
    <t>GEL</t>
  </si>
  <si>
    <t>CH</t>
  </si>
  <si>
    <t>Accommodation</t>
  </si>
  <si>
    <t>Guernsey Pounds</t>
  </si>
  <si>
    <t>GGP</t>
  </si>
  <si>
    <t>TR</t>
  </si>
  <si>
    <t>Food and beverage service activities</t>
  </si>
  <si>
    <t>Ghana Cedis</t>
  </si>
  <si>
    <t>GHS</t>
  </si>
  <si>
    <t>UA</t>
  </si>
  <si>
    <t>Publishing activities</t>
  </si>
  <si>
    <t>Gibraltar Pounds</t>
  </si>
  <si>
    <t>GIP</t>
  </si>
  <si>
    <t>GB</t>
  </si>
  <si>
    <t>Motion picture, video and television programme production, sound recording and music publishing activities</t>
  </si>
  <si>
    <t>Gambia Dalasi</t>
  </si>
  <si>
    <t>GMD</t>
  </si>
  <si>
    <t>Programming and broadcasting activities</t>
  </si>
  <si>
    <t>Guinea Francs</t>
  </si>
  <si>
    <t>GNF</t>
  </si>
  <si>
    <t>Telecommunications</t>
  </si>
  <si>
    <t>Guatemala Quetzales</t>
  </si>
  <si>
    <t>GTQ</t>
  </si>
  <si>
    <t>Computer programming, consultancy and related activities</t>
  </si>
  <si>
    <t>Guyana Dollars</t>
  </si>
  <si>
    <t>GYD</t>
  </si>
  <si>
    <t>Information service activities</t>
  </si>
  <si>
    <t>Hong Kong Dollars</t>
  </si>
  <si>
    <t>HKD</t>
  </si>
  <si>
    <t>Financial service activities, except insurance and pension funding</t>
  </si>
  <si>
    <t>Honduras Lempiras</t>
  </si>
  <si>
    <t>HNL</t>
  </si>
  <si>
    <t>Insurance, reinsurance and pension funding, except compulsory social security</t>
  </si>
  <si>
    <t>Croatia Kuna</t>
  </si>
  <si>
    <t>HRK</t>
  </si>
  <si>
    <t>Activities auxiliary to financial services and insurance activities</t>
  </si>
  <si>
    <t>Haiti Gourdes</t>
  </si>
  <si>
    <t>HTG</t>
  </si>
  <si>
    <t>Real estate activities</t>
  </si>
  <si>
    <t>Hungary Forint</t>
  </si>
  <si>
    <t>HUF</t>
  </si>
  <si>
    <t>Legal and accounting activities</t>
  </si>
  <si>
    <t>Indonesia Rupiahs</t>
  </si>
  <si>
    <t>IDR</t>
  </si>
  <si>
    <t>Activities of head offices; management consultancy activities</t>
  </si>
  <si>
    <t>Israel New Shekels</t>
  </si>
  <si>
    <t>ILS</t>
  </si>
  <si>
    <t>Architectural and engineering activities; technical testing and analysis</t>
  </si>
  <si>
    <t>Isle of Man Pounds</t>
  </si>
  <si>
    <t>IMP</t>
  </si>
  <si>
    <t>Scientific research and development</t>
  </si>
  <si>
    <t>India Rupees</t>
  </si>
  <si>
    <t>INR</t>
  </si>
  <si>
    <t>Advertising and market research</t>
  </si>
  <si>
    <t>Iraq Dinars</t>
  </si>
  <si>
    <t>IQD</t>
  </si>
  <si>
    <t>Other professional, scientific and technical activities</t>
  </si>
  <si>
    <t>Iran Rials</t>
  </si>
  <si>
    <t>IRR</t>
  </si>
  <si>
    <t>Veterinary activities</t>
  </si>
  <si>
    <t>Iceland Kronur</t>
  </si>
  <si>
    <t>ISK</t>
  </si>
  <si>
    <t>Rental and leasing activities</t>
  </si>
  <si>
    <t>Jersey Pounds</t>
  </si>
  <si>
    <t>JEP</t>
  </si>
  <si>
    <t>Employment activities</t>
  </si>
  <si>
    <t>Jamaica Dollars</t>
  </si>
  <si>
    <t>JMD</t>
  </si>
  <si>
    <t>Travel agency, tour operator reservation service and related activities</t>
  </si>
  <si>
    <t>Jordan Dinars</t>
  </si>
  <si>
    <t>JOD</t>
  </si>
  <si>
    <t>Security and investigation activities</t>
  </si>
  <si>
    <t>Japan Yen</t>
  </si>
  <si>
    <t>JPY</t>
  </si>
  <si>
    <t>Services to buildings and landscape activities</t>
  </si>
  <si>
    <t>Kenya Shillings</t>
  </si>
  <si>
    <t>KES</t>
  </si>
  <si>
    <t>Office administrative, office support and other business support activities</t>
  </si>
  <si>
    <t>Kyrgyzstan Soms</t>
  </si>
  <si>
    <t>KGS</t>
  </si>
  <si>
    <t>Public administration and defence; compulsory social security</t>
  </si>
  <si>
    <t>Cambodia Riels</t>
  </si>
  <si>
    <t>KHR</t>
  </si>
  <si>
    <t>Education</t>
  </si>
  <si>
    <t>Comoros Francs</t>
  </si>
  <si>
    <t>KMF</t>
  </si>
  <si>
    <t>Human health activities</t>
  </si>
  <si>
    <t>Korea (North) Won</t>
  </si>
  <si>
    <t>KPW</t>
  </si>
  <si>
    <t>Residential care activities</t>
  </si>
  <si>
    <t>Korea (South) Won</t>
  </si>
  <si>
    <t>KRW</t>
  </si>
  <si>
    <t>Social work activities without accommodation</t>
  </si>
  <si>
    <t>Kuwait Dinars</t>
  </si>
  <si>
    <t>KWD</t>
  </si>
  <si>
    <t>Creative, arts and entertainment activities</t>
  </si>
  <si>
    <t>Cayman Islands Dollars</t>
  </si>
  <si>
    <t>KYD</t>
  </si>
  <si>
    <t>Libraries, archives, museums and other cultural activities</t>
  </si>
  <si>
    <t>Kazakhstan Tenge</t>
  </si>
  <si>
    <t>KZT</t>
  </si>
  <si>
    <t>Gambling and betting activities</t>
  </si>
  <si>
    <t>Laos Kips</t>
  </si>
  <si>
    <t>LAK</t>
  </si>
  <si>
    <t>Sports activities and amusement and recreation activities</t>
  </si>
  <si>
    <t>Lebanon Pounds</t>
  </si>
  <si>
    <t>LBP</t>
  </si>
  <si>
    <t>Activities of membership organisations</t>
  </si>
  <si>
    <t>Sri Lanka Rupees</t>
  </si>
  <si>
    <t>LKR</t>
  </si>
  <si>
    <t>Repair of computers and personal and household goods</t>
  </si>
  <si>
    <t>Liberia Dollars</t>
  </si>
  <si>
    <t>LRD</t>
  </si>
  <si>
    <t>Other personal service activities</t>
  </si>
  <si>
    <t>Lesotho Maloti</t>
  </si>
  <si>
    <t>LSL</t>
  </si>
  <si>
    <t>Activities of households as employers of domestic personnel</t>
  </si>
  <si>
    <t>Lithuania Litai</t>
  </si>
  <si>
    <t>LTL</t>
  </si>
  <si>
    <t>Undifferentiated goods- and services-producing activities of private households for own use</t>
  </si>
  <si>
    <t>Latvia Lati</t>
  </si>
  <si>
    <t>LVL</t>
  </si>
  <si>
    <t>Activities of extraterritorial organisations and bodies</t>
  </si>
  <si>
    <t>Libya Dinars</t>
  </si>
  <si>
    <t>LYD</t>
  </si>
  <si>
    <t>Morocco Dirhams</t>
  </si>
  <si>
    <t>MAD</t>
  </si>
  <si>
    <t>Moldova Dei</t>
  </si>
  <si>
    <t>MDL</t>
  </si>
  <si>
    <t>Madagascar Ariary</t>
  </si>
  <si>
    <t>MGA</t>
  </si>
  <si>
    <t>Macedonia Denars</t>
  </si>
  <si>
    <t>MKD</t>
  </si>
  <si>
    <t>Myanmar (Burma) Kyats</t>
  </si>
  <si>
    <t>MMK</t>
  </si>
  <si>
    <t>Mongolia Tugriks</t>
  </si>
  <si>
    <t>MNT</t>
  </si>
  <si>
    <t>Macau Patacas</t>
  </si>
  <si>
    <t>MOP</t>
  </si>
  <si>
    <t>Mauritania Ouguiyas</t>
  </si>
  <si>
    <t>MRO</t>
  </si>
  <si>
    <t>Mauritius Rupees</t>
  </si>
  <si>
    <t>MUR</t>
  </si>
  <si>
    <t>Maldives (Maldive Islands) Rufiyaa</t>
  </si>
  <si>
    <t>MVR</t>
  </si>
  <si>
    <t>Malawi Kwachas</t>
  </si>
  <si>
    <t>MWK</t>
  </si>
  <si>
    <t>Mexico Pesos</t>
  </si>
  <si>
    <t>MXN</t>
  </si>
  <si>
    <t>Malaysia Ringgits</t>
  </si>
  <si>
    <t>MYR</t>
  </si>
  <si>
    <t>Mozambique Meticais</t>
  </si>
  <si>
    <t>MZN</t>
  </si>
  <si>
    <t>Namibia Dollars</t>
  </si>
  <si>
    <t>NAD</t>
  </si>
  <si>
    <t>Nigeria Nairas</t>
  </si>
  <si>
    <t>NGN</t>
  </si>
  <si>
    <t>Nicaragua Cordobas</t>
  </si>
  <si>
    <t>NIO</t>
  </si>
  <si>
    <t>Norway Krone</t>
  </si>
  <si>
    <t>NOK</t>
  </si>
  <si>
    <t>Nepal Nepal Rupees</t>
  </si>
  <si>
    <t>NPR</t>
  </si>
  <si>
    <t>New Zealand Dollars</t>
  </si>
  <si>
    <t>NZD</t>
  </si>
  <si>
    <t>Oman Rials</t>
  </si>
  <si>
    <t>OMR</t>
  </si>
  <si>
    <t>Panama Balboa</t>
  </si>
  <si>
    <t>PAB</t>
  </si>
  <si>
    <t>Peru Nuevos Soles</t>
  </si>
  <si>
    <t>PEN</t>
  </si>
  <si>
    <t>Papua New Guinea Kina</t>
  </si>
  <si>
    <t>PGK</t>
  </si>
  <si>
    <t>Philippines Pesos</t>
  </si>
  <si>
    <t>PHP</t>
  </si>
  <si>
    <t>Pakistan Rupees</t>
  </si>
  <si>
    <t>PKR</t>
  </si>
  <si>
    <t>Poland Zlotych</t>
  </si>
  <si>
    <t>PLN</t>
  </si>
  <si>
    <t>Paraguay Guarani</t>
  </si>
  <si>
    <t>PYG</t>
  </si>
  <si>
    <t>Qatar Rials</t>
  </si>
  <si>
    <t>QAR</t>
  </si>
  <si>
    <t>Romania New Lei</t>
  </si>
  <si>
    <t>RON</t>
  </si>
  <si>
    <t>Serbia Dinars</t>
  </si>
  <si>
    <t>RSD</t>
  </si>
  <si>
    <t>Russia Rubles</t>
  </si>
  <si>
    <t>RUB</t>
  </si>
  <si>
    <t>Rwanda Rwanda Francs</t>
  </si>
  <si>
    <t>RWF</t>
  </si>
  <si>
    <t>Saudi Arabia Riyals</t>
  </si>
  <si>
    <t>SAR</t>
  </si>
  <si>
    <t>Solomon Islands Dollars</t>
  </si>
  <si>
    <t>SBD</t>
  </si>
  <si>
    <t>Seychelles Rupees</t>
  </si>
  <si>
    <t>SCR</t>
  </si>
  <si>
    <t>Sudan Pounds</t>
  </si>
  <si>
    <t>SDG</t>
  </si>
  <si>
    <t>Sweden Kronor</t>
  </si>
  <si>
    <t>SEK</t>
  </si>
  <si>
    <t>Singapore Dollars</t>
  </si>
  <si>
    <t>SGD</t>
  </si>
  <si>
    <t>Saint Helena Pounds</t>
  </si>
  <si>
    <t>SHP</t>
  </si>
  <si>
    <t>Slovakia Koruny</t>
  </si>
  <si>
    <t>SKK</t>
  </si>
  <si>
    <t>Sierra Leone Leones</t>
  </si>
  <si>
    <t>SLL</t>
  </si>
  <si>
    <t>Somalia Shillings</t>
  </si>
  <si>
    <t>SOS</t>
  </si>
  <si>
    <t>Seborga Luigini</t>
  </si>
  <si>
    <t>SPL</t>
  </si>
  <si>
    <t>Suriname Dollars</t>
  </si>
  <si>
    <t>SRD</t>
  </si>
  <si>
    <t>São Tome and Principe Dobras</t>
  </si>
  <si>
    <t>STD</t>
  </si>
  <si>
    <t>El Salvador Colones</t>
  </si>
  <si>
    <t>SVC</t>
  </si>
  <si>
    <t>Syria Pounds</t>
  </si>
  <si>
    <t>SYP</t>
  </si>
  <si>
    <t>Swaziland Emalangeni</t>
  </si>
  <si>
    <t>SZL</t>
  </si>
  <si>
    <t>Thailand Baht</t>
  </si>
  <si>
    <t>THB</t>
  </si>
  <si>
    <t>Tajikistan Somoni</t>
  </si>
  <si>
    <t>TJS</t>
  </si>
  <si>
    <t>Turkmenistan Manats</t>
  </si>
  <si>
    <t>TMM</t>
  </si>
  <si>
    <t>Tunisia Dinars</t>
  </si>
  <si>
    <t>TND</t>
  </si>
  <si>
    <t>Tonga Pa'anga</t>
  </si>
  <si>
    <t>TOP</t>
  </si>
  <si>
    <t>Turkey New Lira</t>
  </si>
  <si>
    <t>TRY</t>
  </si>
  <si>
    <t>Trinidad and Tobago Dollars</t>
  </si>
  <si>
    <t>TTD</t>
  </si>
  <si>
    <t>Tuvalu Tuvalu Dollars</t>
  </si>
  <si>
    <t>TVD</t>
  </si>
  <si>
    <t>Taiwan New Dollars</t>
  </si>
  <si>
    <t>TWD</t>
  </si>
  <si>
    <t>Tanzania Shillings</t>
  </si>
  <si>
    <t>TZS</t>
  </si>
  <si>
    <t>Ukraine Hryvnia</t>
  </si>
  <si>
    <t>UAH</t>
  </si>
  <si>
    <t>Uganda Shillings</t>
  </si>
  <si>
    <t>UGX</t>
  </si>
  <si>
    <t>United States of America Dollars</t>
  </si>
  <si>
    <t>USD</t>
  </si>
  <si>
    <t>Uruguay Pesos</t>
  </si>
  <si>
    <t>UYU</t>
  </si>
  <si>
    <t>Uzbekistan Sums</t>
  </si>
  <si>
    <t>UZS</t>
  </si>
  <si>
    <t>Venezuela Bolivares Fuertes</t>
  </si>
  <si>
    <t>VEF</t>
  </si>
  <si>
    <t>Viet Nam Dong</t>
  </si>
  <si>
    <t>VND</t>
  </si>
  <si>
    <t>Vanuatu Vatu</t>
  </si>
  <si>
    <t>VUV</t>
  </si>
  <si>
    <t>Samoa Tala</t>
  </si>
  <si>
    <t>WST</t>
  </si>
  <si>
    <t>Communauté Financière Africaine BEAC Francs</t>
  </si>
  <si>
    <t>XAF</t>
  </si>
  <si>
    <t>Silver Ounces</t>
  </si>
  <si>
    <t>XAG</t>
  </si>
  <si>
    <t>Gold Ounces</t>
  </si>
  <si>
    <t>XAU</t>
  </si>
  <si>
    <t>East Caribbean Dollars</t>
  </si>
  <si>
    <t>XCD</t>
  </si>
  <si>
    <t>International Monetary Fund (IMF) Special Drawing Rights</t>
  </si>
  <si>
    <t>XDR</t>
  </si>
  <si>
    <t>Communauté Financière Africaine BCEAO Francs</t>
  </si>
  <si>
    <t>XOF</t>
  </si>
  <si>
    <t>Palladium Ounces</t>
  </si>
  <si>
    <t>XPD</t>
  </si>
  <si>
    <t>Comptoirs Français du Pacifique Francs</t>
  </si>
  <si>
    <t>XPF</t>
  </si>
  <si>
    <t>Platinum Ounces</t>
  </si>
  <si>
    <t>XPT</t>
  </si>
  <si>
    <t>Yemen Rials</t>
  </si>
  <si>
    <t>YER</t>
  </si>
  <si>
    <t>South Africa Rand</t>
  </si>
  <si>
    <t>ZAR</t>
  </si>
  <si>
    <t>Zambia Kwacha</t>
  </si>
  <si>
    <t>ZMK</t>
  </si>
  <si>
    <t>Zimbabwe Dollars</t>
  </si>
  <si>
    <t>ZWD</t>
  </si>
  <si>
    <t>*</t>
  </si>
  <si>
    <t>Mandatory Fields</t>
  </si>
  <si>
    <t>.</t>
  </si>
  <si>
    <t>Z</t>
  </si>
  <si>
    <r>
      <rPr>
        <sz val="11"/>
        <color rgb="FFC26D18"/>
        <rFont val="Calibri Light"/>
        <family val="2"/>
        <scheme val="major"/>
      </rPr>
      <t>NACE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select the closet business activity for the company</t>
    </r>
  </si>
  <si>
    <t>Provide Your Own Data Input File</t>
  </si>
  <si>
    <t>iso_code</t>
  </si>
  <si>
    <t>company_id</t>
  </si>
  <si>
    <t>details_name</t>
  </si>
  <si>
    <t>details_industry_sector_code</t>
  </si>
  <si>
    <t>details_website</t>
  </si>
  <si>
    <t>details_nace_code</t>
  </si>
  <si>
    <t>details_number_of_directors</t>
  </si>
  <si>
    <t>details_number_of_subsidiaries</t>
  </si>
  <si>
    <t>cash_and_equivalents</t>
  </si>
  <si>
    <t>creditors</t>
  </si>
  <si>
    <t>current_assets</t>
  </si>
  <si>
    <t>current_liabilities</t>
  </si>
  <si>
    <t>debtors</t>
  </si>
  <si>
    <t>ebit</t>
  </si>
  <si>
    <t>ebitda</t>
  </si>
  <si>
    <t>fixed_assets</t>
  </si>
  <si>
    <t>intangible_fixed_assets</t>
  </si>
  <si>
    <t>interest_expenses</t>
  </si>
  <si>
    <t>inventory</t>
  </si>
  <si>
    <t>loans</t>
  </si>
  <si>
    <t>long_term_debt</t>
  </si>
  <si>
    <t>management_experience</t>
  </si>
  <si>
    <t>net_income</t>
  </si>
  <si>
    <t>non_current_liabilities</t>
  </si>
  <si>
    <t>other_non_current_liabilities</t>
  </si>
  <si>
    <t>period</t>
  </si>
  <si>
    <t>short_term_debt</t>
  </si>
  <si>
    <t>tangible_fixed_assets</t>
  </si>
  <si>
    <t>retained_earnings</t>
  </si>
  <si>
    <t>total_assets</t>
  </si>
  <si>
    <t>total_liabilities</t>
  </si>
  <si>
    <t>total_shareholder_equity</t>
  </si>
  <si>
    <t>turnover</t>
  </si>
  <si>
    <t>working_capital</t>
  </si>
  <si>
    <r>
      <rPr>
        <sz val="11"/>
        <color rgb="FFC26D18"/>
        <rFont val="Calibri Light"/>
        <family val="2"/>
        <scheme val="major"/>
      </rPr>
      <t>Company ID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enter the company ID (if known)</t>
    </r>
  </si>
  <si>
    <r>
      <rPr>
        <sz val="11"/>
        <color rgb="FFC26D18"/>
        <rFont val="Calibri Light"/>
        <family val="2"/>
        <scheme val="major"/>
      </rPr>
      <t>Company Website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enter the website for the company (i.e. www.__.com)</t>
    </r>
  </si>
  <si>
    <r>
      <t xml:space="preserve">Number of Subsidaries
</t>
    </r>
    <r>
      <rPr>
        <sz val="9"/>
        <color theme="6" tint="-0.499984740745262"/>
        <rFont val="Calibri Light"/>
        <family val="2"/>
        <scheme val="major"/>
      </rPr>
      <t>Total number of subsidaries attached to the company</t>
    </r>
  </si>
  <si>
    <r>
      <t xml:space="preserve">Creditors
</t>
    </r>
    <r>
      <rPr>
        <sz val="9"/>
        <color theme="6" tint="-0.499984740745262"/>
        <rFont val="Calibri Light"/>
        <family val="2"/>
        <scheme val="major"/>
      </rPr>
      <t>All creditors (both current and non-current)</t>
    </r>
  </si>
  <si>
    <r>
      <t xml:space="preserve">Current Assets
</t>
    </r>
    <r>
      <rPr>
        <sz val="9"/>
        <color theme="6" tint="-0.499984740745262"/>
        <rFont val="Calibri Light"/>
        <family val="2"/>
        <scheme val="major"/>
      </rPr>
      <t>All current assets owned by the firm based on the purchase price</t>
    </r>
  </si>
  <si>
    <r>
      <t xml:space="preserve">Current Liabilities
</t>
    </r>
    <r>
      <rPr>
        <sz val="9"/>
        <color theme="6" tint="-0.499984740745262"/>
        <rFont val="Calibri Light"/>
        <family val="2"/>
        <scheme val="major"/>
      </rPr>
      <t>All current liabilities</t>
    </r>
  </si>
  <si>
    <r>
      <t xml:space="preserve">Debtors
</t>
    </r>
    <r>
      <rPr>
        <sz val="9"/>
        <color theme="6" tint="-0.499984740745262"/>
        <rFont val="Calibri Light"/>
        <family val="2"/>
        <scheme val="major"/>
      </rPr>
      <t>All debtors (both current and non-current)</t>
    </r>
  </si>
  <si>
    <t>number_of_employees</t>
  </si>
  <si>
    <r>
      <t xml:space="preserve">Fixed Assets
</t>
    </r>
    <r>
      <rPr>
        <sz val="9"/>
        <color theme="6" tint="-0.499984740745262"/>
        <rFont val="Calibri Light"/>
        <family val="2"/>
        <scheme val="major"/>
      </rPr>
      <t>Total of all Fixed Assets (this may be the sum of Tangible + Intangible Assets)</t>
    </r>
  </si>
  <si>
    <r>
      <t xml:space="preserve">Inventory
</t>
    </r>
    <r>
      <rPr>
        <sz val="9"/>
        <color theme="6" tint="-0.499984740745262"/>
        <rFont val="Calibri Light"/>
        <family val="2"/>
        <scheme val="major"/>
      </rPr>
      <t>Also known as stock</t>
    </r>
  </si>
  <si>
    <r>
      <t xml:space="preserve">Non Current Liabilities
</t>
    </r>
    <r>
      <rPr>
        <sz val="9"/>
        <color theme="6" tint="-0.499984740745262"/>
        <rFont val="Calibri Light"/>
        <family val="2"/>
        <scheme val="major"/>
      </rPr>
      <t>All non current liabilities</t>
    </r>
  </si>
  <si>
    <r>
      <t xml:space="preserve">Other Non Current Liabilities
</t>
    </r>
    <r>
      <rPr>
        <sz val="9"/>
        <color theme="6" tint="-0.499984740745262"/>
        <rFont val="Calibri Light"/>
        <family val="2"/>
        <scheme val="major"/>
      </rPr>
      <t>All other non current liabilities not captured under the above</t>
    </r>
  </si>
  <si>
    <r>
      <t xml:space="preserve">Loans
</t>
    </r>
    <r>
      <rPr>
        <sz val="9"/>
        <color theme="6" tint="-0.499984740745262"/>
        <rFont val="Calibri Light"/>
        <family val="2"/>
        <scheme val="major"/>
      </rPr>
      <t>All short term and long term loans owed by the company</t>
    </r>
  </si>
  <si>
    <r>
      <t xml:space="preserve">Management Experience
</t>
    </r>
    <r>
      <rPr>
        <sz val="9"/>
        <color theme="6" tint="-0.499984740745262"/>
        <rFont val="Calibri Light"/>
        <family val="2"/>
        <scheme val="major"/>
      </rPr>
      <t>How much experience management have in managing the company [High, Medium or Low]</t>
    </r>
  </si>
  <si>
    <t>Afghanistan</t>
  </si>
  <si>
    <t>AF</t>
  </si>
  <si>
    <t>Aland Islands</t>
  </si>
  <si>
    <t>AX</t>
  </si>
  <si>
    <t>Albania</t>
  </si>
  <si>
    <t>Algeria</t>
  </si>
  <si>
    <t>DZ</t>
  </si>
  <si>
    <t>American Samoa</t>
  </si>
  <si>
    <t>AS</t>
  </si>
  <si>
    <t>Andorra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</si>
  <si>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</si>
  <si>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</si>
  <si>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</si>
  <si>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</si>
  <si>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</si>
  <si>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</si>
  <si>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</si>
  <si>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</si>
  <si>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</si>
  <si>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</si>
  <si>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</si>
  <si>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</si>
  <si>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</si>
  <si>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</si>
  <si>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</si>
  <si>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</si>
  <si>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</si>
  <si>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</si>
  <si>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</si>
  <si>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</si>
  <si>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</si>
  <si>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</si>
  <si>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</si>
  <si>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</si>
  <si>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</si>
  <si>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</si>
  <si>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</si>
  <si>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</si>
  <si>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Belgium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</si>
  <si>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</si>
  <si>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</si>
  <si>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</si>
  <si>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</si>
  <si>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</si>
  <si>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</si>
  <si>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</si>
  <si>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</si>
  <si>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</si>
  <si>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</si>
  <si>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</si>
  <si>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</si>
  <si>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</si>
  <si>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</si>
  <si>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</si>
  <si>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</si>
  <si>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</si>
  <si>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</si>
  <si>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</si>
  <si>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</si>
  <si>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</si>
  <si>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</si>
  <si>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Burkina Faso</t>
  </si>
  <si>
    <t>BF</t>
  </si>
  <si>
    <t>Burundi</t>
  </si>
  <si>
    <t>BI</t>
  </si>
  <si>
    <t>Cabo Verde</t>
  </si>
  <si>
    <t>CV</t>
  </si>
  <si>
    <t>Cambodia</t>
  </si>
  <si>
    <t>KH</t>
  </si>
  <si>
    <t>Cameroon</t>
  </si>
  <si>
    <t>CM</t>
  </si>
  <si>
    <t>Canada</t>
  </si>
  <si>
    <t>CA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</si>
  <si>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</si>
  <si>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</si>
  <si>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</si>
  <si>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</si>
  <si>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</si>
  <si>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</si>
  <si>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</si>
  <si>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</si>
  <si>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</si>
  <si>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</si>
  <si>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</si>
  <si>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</si>
  <si>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Cocosislands</t>
  </si>
  <si>
    <t>CC</t>
  </si>
  <si>
    <t>Colombia</t>
  </si>
  <si>
    <t>CO</t>
  </si>
  <si>
    <t>Comoros</t>
  </si>
  <si>
    <t>KM</t>
  </si>
  <si>
    <t>Congo Democratic Republic</t>
  </si>
  <si>
    <t>CD</t>
  </si>
  <si>
    <t>Congo</t>
  </si>
  <si>
    <t>CG</t>
  </si>
  <si>
    <t>Cook Islands</t>
  </si>
  <si>
    <t>CK</t>
  </si>
  <si>
    <t>Costa Rica</t>
  </si>
  <si>
    <t>CR</t>
  </si>
  <si>
    <t>Cote Divoire</t>
  </si>
  <si>
    <t>CI</t>
  </si>
  <si>
    <t>Croatia</t>
  </si>
  <si>
    <t>Cuba</t>
  </si>
  <si>
    <t>CU</t>
  </si>
  <si>
    <t>Curacao</t>
  </si>
  <si>
    <t>CW</t>
  </si>
  <si>
    <t>Cyprus</t>
  </si>
  <si>
    <t>Czechia</t>
  </si>
  <si>
    <t>Denmark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</si>
  <si>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</si>
  <si>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</si>
  <si>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</si>
  <si>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</si>
  <si>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</si>
  <si>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</si>
  <si>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</si>
  <si>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</si>
  <si>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</si>
  <si>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</si>
  <si>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</si>
  <si>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</si>
  <si>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</si>
  <si>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</si>
  <si>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</si>
  <si>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</si>
  <si>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</si>
  <si>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Eswatini</t>
  </si>
  <si>
    <t>SZ</t>
  </si>
  <si>
    <t>Ethiopia</t>
  </si>
  <si>
    <t>ET</t>
  </si>
  <si>
    <t>Falkland Islands</t>
  </si>
  <si>
    <t>FK</t>
  </si>
  <si>
    <t>Faroe Islands</t>
  </si>
  <si>
    <t>FO</t>
  </si>
  <si>
    <t>Fiji</t>
  </si>
  <si>
    <t>FJ</t>
  </si>
  <si>
    <t>Finland</t>
  </si>
  <si>
    <t>France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</si>
  <si>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</si>
  <si>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</si>
  <si>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</si>
  <si>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</si>
  <si>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</si>
  <si>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</si>
  <si>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</si>
  <si>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</si>
  <si>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</si>
  <si>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</si>
  <si>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</si>
  <si>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</si>
  <si>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</si>
  <si>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Ghana</t>
  </si>
  <si>
    <t>GH</t>
  </si>
  <si>
    <t>Gibraltar</t>
  </si>
  <si>
    <t>Greece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</si>
  <si>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</si>
  <si>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</si>
  <si>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</si>
  <si>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</si>
  <si>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</si>
  <si>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</si>
  <si>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</si>
  <si>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</si>
  <si>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</si>
  <si>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</si>
  <si>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</si>
  <si>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>GG</t>
  </si>
  <si>
    <t>Guinea</t>
  </si>
  <si>
    <t>GN</t>
  </si>
  <si>
    <t>Guinea 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</si>
  <si>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</si>
  <si>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</si>
  <si>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</si>
  <si>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</si>
  <si>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</si>
  <si>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</si>
  <si>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</si>
  <si>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</t>
  </si>
  <si>
    <t>VA</t>
  </si>
  <si>
    <t>Honduras</t>
  </si>
  <si>
    <t>HN</t>
  </si>
  <si>
    <t>Hong Kong</t>
  </si>
  <si>
    <t>HK</t>
  </si>
  <si>
    <t>Hungary</t>
  </si>
  <si>
    <t>Iceland</t>
  </si>
  <si>
    <t>India</t>
  </si>
  <si>
    <t>IN</t>
  </si>
  <si>
    <t>Indonesia</t>
  </si>
  <si>
    <t>ID</t>
  </si>
  <si>
    <t>Iran</t>
  </si>
  <si>
    <t>IR</t>
  </si>
  <si>
    <t>Iraq</t>
  </si>
  <si>
    <t>IQ</t>
  </si>
  <si>
    <t>Ireland</t>
  </si>
  <si>
    <t>Isle Of Man</t>
  </si>
  <si>
    <t>IM</t>
  </si>
  <si>
    <t>Israel</t>
  </si>
  <si>
    <t>IL</t>
  </si>
  <si>
    <t>Italy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</si>
  <si>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</si>
  <si>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</si>
  <si>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</si>
  <si>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</si>
  <si>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</si>
  <si>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</si>
  <si>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</si>
  <si>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</si>
  <si>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</si>
  <si>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</si>
  <si>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</si>
  <si>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</si>
  <si>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</si>
  <si>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</si>
  <si>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North Korea</t>
  </si>
  <si>
    <t>KP</t>
  </si>
  <si>
    <t>South Korea</t>
  </si>
  <si>
    <t>KR</t>
  </si>
  <si>
    <t>Kuwait</t>
  </si>
  <si>
    <t>KW</t>
  </si>
  <si>
    <t>Kyrgyzstan</t>
  </si>
  <si>
    <t>KG</t>
  </si>
  <si>
    <t>Laos</t>
  </si>
  <si>
    <t>LA</t>
  </si>
  <si>
    <t>Latvia</t>
  </si>
  <si>
    <t>Lebanon</t>
  </si>
  <si>
    <t>LB</t>
  </si>
  <si>
    <t>Lesotho</t>
  </si>
  <si>
    <t>LS</t>
  </si>
  <si>
    <t>Liberia</t>
  </si>
  <si>
    <t>LR</t>
  </si>
  <si>
    <t>Libya</t>
  </si>
  <si>
    <t>LY</t>
  </si>
  <si>
    <t>Liechtenstein</t>
  </si>
  <si>
    <t>Lithuania</t>
  </si>
  <si>
    <t>Luxembourg</t>
  </si>
  <si>
    <t>Macao</t>
  </si>
  <si>
    <t>MO</t>
  </si>
  <si>
    <t>North Macedonia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</si>
  <si>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</si>
  <si>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</si>
  <si>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</si>
  <si>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</si>
  <si>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</si>
  <si>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</si>
  <si>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</si>
  <si>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</si>
  <si>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</si>
  <si>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</si>
  <si>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</si>
  <si>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</si>
  <si>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</si>
  <si>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</si>
  <si>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</si>
  <si>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</si>
  <si>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</si>
  <si>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</si>
  <si>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</si>
  <si>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</si>
  <si>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</si>
  <si>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</si>
  <si>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</si>
  <si>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</t>
  </si>
  <si>
    <t>FM</t>
  </si>
  <si>
    <t>Moldova</t>
  </si>
  <si>
    <t>Monaco</t>
  </si>
  <si>
    <t>Mongolia</t>
  </si>
  <si>
    <t>MN</t>
  </si>
  <si>
    <t>Montenegro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</si>
  <si>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</si>
  <si>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</si>
  <si>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</si>
  <si>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</si>
  <si>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</si>
  <si>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</si>
  <si>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</si>
  <si>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</si>
  <si>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</si>
  <si>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</si>
  <si>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</si>
  <si>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</si>
  <si>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</si>
  <si>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</si>
  <si>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</si>
  <si>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</si>
  <si>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</si>
  <si>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</si>
  <si>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</si>
  <si>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</si>
  <si>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</si>
  <si>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</si>
  <si>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</si>
  <si>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</si>
  <si>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</si>
  <si>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</si>
  <si>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</si>
  <si>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</si>
  <si>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</si>
  <si>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</si>
  <si>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</si>
  <si>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</si>
  <si>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Oman</t>
  </si>
  <si>
    <t>OM</t>
  </si>
  <si>
    <t>Pakistan</t>
  </si>
  <si>
    <t>PK</t>
  </si>
  <si>
    <t>Palau</t>
  </si>
  <si>
    <t>PW</t>
  </si>
  <si>
    <t>Palestine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</si>
  <si>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</si>
  <si>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</si>
  <si>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</si>
  <si>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</si>
  <si>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</si>
  <si>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</si>
  <si>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</si>
  <si>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</si>
  <si>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</si>
  <si>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</si>
  <si>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</si>
  <si>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</si>
  <si>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</si>
  <si>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</si>
  <si>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Portugal</t>
  </si>
  <si>
    <t>Puerto Rico</t>
  </si>
  <si>
    <t>PR</t>
  </si>
  <si>
    <t>Qatar</t>
  </si>
  <si>
    <t>QA</t>
  </si>
  <si>
    <t>Reunion</t>
  </si>
  <si>
    <t>RE</t>
  </si>
  <si>
    <t>Romania</t>
  </si>
  <si>
    <t>Russia</t>
  </si>
  <si>
    <t>Rwanda</t>
  </si>
  <si>
    <t>RW</t>
  </si>
  <si>
    <t>Saint Barthelemy</t>
  </si>
  <si>
    <t>BL</t>
  </si>
  <si>
    <t>Saint Kitts And Nevis</t>
  </si>
  <si>
    <t>KN</t>
  </si>
  <si>
    <t>Saint Lucia</t>
  </si>
  <si>
    <t>LC</t>
  </si>
  <si>
    <t>Saint Martin</t>
  </si>
  <si>
    <t>MF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</si>
  <si>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</si>
  <si>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</si>
  <si>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</si>
  <si>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</si>
  <si>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</si>
  <si>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</si>
  <si>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</si>
  <si>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Sao Tome And Principe</t>
  </si>
  <si>
    <t>ST</t>
  </si>
  <si>
    <t>Saudi Arabia</t>
  </si>
  <si>
    <t>SA</t>
  </si>
  <si>
    <t>Senegal</t>
  </si>
  <si>
    <t>SN</t>
  </si>
  <si>
    <t>Serbia</t>
  </si>
  <si>
    <t>Seychelles</t>
  </si>
  <si>
    <t>SC</t>
  </si>
  <si>
    <t>Sierra Leone</t>
  </si>
  <si>
    <t>SL</t>
  </si>
  <si>
    <t>Singapore</t>
  </si>
  <si>
    <t>SG</t>
  </si>
  <si>
    <t>Sint Maarten</t>
  </si>
  <si>
    <t>SX</t>
  </si>
  <si>
    <t>Slovakia</t>
  </si>
  <si>
    <t>Slovenia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</si>
  <si>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</si>
  <si>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</si>
  <si>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</si>
  <si>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</si>
  <si>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</si>
  <si>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</si>
  <si>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</si>
  <si>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</si>
  <si>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South Sudan</t>
  </si>
  <si>
    <t>SS</t>
  </si>
  <si>
    <t>Spain</t>
  </si>
  <si>
    <t>Sri Lanka</t>
  </si>
  <si>
    <t>LK</t>
  </si>
  <si>
    <t>Sudan</t>
  </si>
  <si>
    <t>SD</t>
  </si>
  <si>
    <t>Suriname</t>
  </si>
  <si>
    <t>SR</t>
  </si>
  <si>
    <t>Sweden</t>
  </si>
  <si>
    <t>Switzerland</t>
  </si>
  <si>
    <t>Syrian Arab Republic</t>
  </si>
  <si>
    <t>SY</t>
  </si>
  <si>
    <t>Taiwan</t>
  </si>
  <si>
    <t>TW</t>
  </si>
  <si>
    <t>Tajikistan</t>
  </si>
  <si>
    <t>TJ</t>
  </si>
  <si>
    <t>Tanzania</t>
  </si>
  <si>
    <t>TZ</t>
  </si>
  <si>
    <t>Thailand</t>
  </si>
  <si>
    <t>TH</t>
  </si>
  <si>
    <t>Timor 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</si>
  <si>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</si>
  <si>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</si>
  <si>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</si>
  <si>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</si>
  <si>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</si>
  <si>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</si>
  <si>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</si>
  <si>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</si>
  <si>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</si>
  <si>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</si>
  <si>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</si>
  <si>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</si>
  <si>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</si>
  <si>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</si>
  <si>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</si>
  <si>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</si>
  <si>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</si>
  <si>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</si>
  <si>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</si>
  <si>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</si>
  <si>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</si>
  <si>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United Arab Emirates</t>
  </si>
  <si>
    <t>AE</t>
  </si>
  <si>
    <t>United Kingdom</t>
  </si>
  <si>
    <t>United States Minor Outlying Islands</t>
  </si>
  <si>
    <t>UM</t>
  </si>
  <si>
    <t>United States Of America</t>
  </si>
  <si>
    <t>US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</si>
  <si>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</si>
  <si>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</si>
  <si>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</si>
  <si>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</si>
  <si>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</si>
  <si>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</si>
  <si>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</si>
  <si>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</si>
  <si>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Vietnam</t>
  </si>
  <si>
    <t>VN</t>
  </si>
  <si>
    <t>Virgin Islands</t>
  </si>
  <si>
    <t>VG</t>
  </si>
  <si>
    <t>Virgin Islands Us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</si>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</sst>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9"/>
      <name val="Wingdings"/>
      <charset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9"/>
      <color theme="6" tint="-0.499984740745262"/>
      <name val="Calibri Light"/>
      <family val="2"/>
      <scheme val="major"/>
    </font>
    <font>
      <sz val="11"/>
      <color rgb="FFC26D18"/>
      <name val="Calibri Light"/>
      <family val="2"/>
      <scheme val="major"/>
    </font>
    <font>
      <b/>
      <sz val="12"/>
      <color rgb="FFC26D18"/>
      <name val="Calibri Light"/>
      <family val="2"/>
      <scheme val="major"/>
    </font>
    <font>
      <sz val="11"/>
      <color rgb="FFE58A2E"/>
      <name val="Calibri Light"/>
      <family val="2"/>
      <scheme val="major"/>
    </font>
    <font>
      <sz val="10"/>
      <color rgb="FFE58A2E"/>
      <name val="Calibri"/>
      <family val="2"/>
      <scheme val="minor"/>
    </font>
    <font>
      <i/>
      <sz val="10"/>
      <color rgb="FFE58A2E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 tint="-4.9989318521683403E-2"/>
      <name val="Calibri Light"/>
      <family val="2"/>
      <scheme val="major"/>
    </font>
    <font>
      <sz val="10"/>
      <color theme="0" tint="-4.9989318521683403E-2"/>
      <name val="Calibri Light"/>
      <family val="2"/>
      <scheme val="major"/>
    </font>
    <font>
      <sz val="9"/>
      <color theme="0"/>
      <name val="Calibri"/>
      <family val="2"/>
      <scheme val="minor"/>
    </font>
    <font>
      <sz val="9"/>
      <color theme="0"/>
      <name val="Calibri Light"/>
      <family val="2"/>
      <scheme val="major"/>
    </font>
    <font>
      <sz val="8"/>
      <color theme="0"/>
      <name val="Calibri Light"/>
      <family val="2"/>
      <scheme val="major"/>
    </font>
    <font>
      <b/>
      <sz val="11"/>
      <name val="Calibri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E58A2E"/>
        <bgColor indexed="64"/>
      </patternFill>
    </fill>
    <fill>
      <patternFill patternType="solid">
        <fgColor rgb="FFF7DBBF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0" tint="-0.24994659260841701"/>
      </left>
      <right/>
      <top/>
      <bottom/>
      <diagonal/>
    </border>
  </borders>
  <cellStyleXfs count="2">
    <xf numFmtId="0" fontId="0" fillId="0" borderId="0"/>
    <xf numFmtId="0" fontId="23" fillId="0" borderId="0" applyNumberFormat="0" applyFill="0" applyBorder="0" applyAlignment="0" applyProtection="0"/>
  </cellStyleXfs>
  <cellXfs count="51">
    <xf numFmtId="0" fontId="0" fillId="0" borderId="0" xfId="0"/>
    <xf numFmtId="0" fontId="0" fillId="0" borderId="0" xfId="0" applyFont="1"/>
    <xf numFmtId="0" fontId="0" fillId="0" borderId="0" xfId="0" applyFont="1" applyAlignment="1">
      <alignment horizontal="center"/>
    </xf>
    <xf numFmtId="0" fontId="0" fillId="3" borderId="0" xfId="0" applyFont="1" applyFill="1" applyAlignment="1">
      <alignment horizontal="center"/>
    </xf>
    <xf numFmtId="0" fontId="0" fillId="3" borderId="0" xfId="0" applyFont="1" applyFill="1"/>
    <xf numFmtId="0" fontId="0" fillId="0" borderId="0" xfId="0" applyFont="1" applyAlignment="1">
      <alignment horizontal="right"/>
    </xf>
    <xf numFmtId="0" fontId="0" fillId="3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5" fillId="0" borderId="0" xfId="0" applyFont="1"/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2" fillId="0" borderId="0" xfId="0" applyFont="1" applyFill="1"/>
    <xf numFmtId="0" fontId="3" fillId="0" borderId="0" xfId="0" applyFont="1" applyFill="1" applyBorder="1"/>
    <xf numFmtId="0" fontId="3" fillId="0" borderId="4" xfId="0" applyFont="1" applyFill="1" applyBorder="1"/>
    <xf numFmtId="0" fontId="3" fillId="0" borderId="5" xfId="0" applyFont="1" applyFill="1" applyBorder="1"/>
    <xf numFmtId="0" fontId="12" fillId="3" borderId="0" xfId="0" applyFont="1" applyFill="1" applyAlignment="1">
      <alignment horizontal="left"/>
    </xf>
    <xf numFmtId="0" fontId="0" fillId="0" borderId="0" xfId="0" applyFont="1" applyAlignment="1">
      <alignment vertical="center"/>
    </xf>
    <xf numFmtId="0" fontId="4" fillId="3" borderId="0" xfId="0" applyFont="1" applyFill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0" fontId="1" fillId="0" borderId="6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11" fillId="0" borderId="1" xfId="0" applyFont="1" applyBorder="1" applyAlignment="1">
      <alignment vertical="center" wrapText="1"/>
    </xf>
    <xf numFmtId="0" fontId="13" fillId="4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3" fillId="0" borderId="1" xfId="0" applyFont="1" applyBorder="1" applyAlignment="1">
      <alignment horizontal="center" vertical="top"/>
    </xf>
    <xf numFmtId="0" fontId="9" fillId="0" borderId="1" xfId="0" applyFont="1" applyBorder="1" applyAlignment="1" applyProtection="1">
      <alignment horizontal="right" vertical="center" wrapText="1"/>
      <protection locked="0"/>
    </xf>
    <xf numFmtId="0" fontId="9" fillId="4" borderId="1" xfId="0" applyFont="1" applyFill="1" applyBorder="1" applyAlignment="1" applyProtection="1">
      <alignment horizontal="right" vertical="center" wrapText="1"/>
      <protection locked="0"/>
    </xf>
    <xf numFmtId="3" fontId="9" fillId="0" borderId="1" xfId="0" applyNumberFormat="1" applyFont="1" applyBorder="1" applyAlignment="1" applyProtection="1">
      <alignment horizontal="right" vertical="center"/>
      <protection locked="0"/>
    </xf>
    <xf numFmtId="0" fontId="16" fillId="0" borderId="0" xfId="0" applyFont="1" applyAlignment="1">
      <alignment horizontal="right"/>
    </xf>
    <xf numFmtId="0" fontId="17" fillId="4" borderId="3" xfId="0" applyFont="1" applyFill="1" applyBorder="1" applyAlignment="1">
      <alignment vertical="center"/>
    </xf>
    <xf numFmtId="0" fontId="18" fillId="4" borderId="1" xfId="0" applyFont="1" applyFill="1" applyBorder="1" applyAlignment="1" applyProtection="1">
      <alignment horizontal="right" vertical="center"/>
    </xf>
    <xf numFmtId="0" fontId="19" fillId="0" borderId="0" xfId="0" applyFont="1" applyFill="1" applyBorder="1" applyAlignment="1">
      <alignment vertical="center"/>
    </xf>
    <xf numFmtId="0" fontId="16" fillId="3" borderId="0" xfId="0" applyFont="1" applyFill="1" applyAlignment="1">
      <alignment horizontal="right" vertical="center"/>
    </xf>
    <xf numFmtId="0" fontId="16" fillId="0" borderId="0" xfId="0" applyFont="1" applyFill="1" applyAlignment="1">
      <alignment horizontal="right"/>
    </xf>
    <xf numFmtId="0" fontId="20" fillId="4" borderId="1" xfId="0" applyFont="1" applyFill="1" applyBorder="1" applyAlignment="1" applyProtection="1">
      <alignment horizontal="right" vertical="center" wrapText="1"/>
      <protection locked="0"/>
    </xf>
    <xf numFmtId="0" fontId="16" fillId="0" borderId="0" xfId="0" applyFont="1" applyFill="1" applyBorder="1" applyAlignment="1">
      <alignment horizontal="right"/>
    </xf>
    <xf numFmtId="0" fontId="16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right" vertical="center"/>
    </xf>
    <xf numFmtId="0" fontId="21" fillId="0" borderId="0" xfId="0" applyFont="1" applyFill="1" applyBorder="1" applyAlignment="1">
      <alignment horizontal="left" vertical="center"/>
    </xf>
    <xf numFmtId="0" fontId="21" fillId="0" borderId="0" xfId="0" applyFont="1" applyFill="1" applyBorder="1" applyAlignment="1">
      <alignment horizontal="right" vertical="center"/>
    </xf>
    <xf numFmtId="0" fontId="20" fillId="0" borderId="0" xfId="0" applyFont="1" applyFill="1" applyBorder="1" applyAlignment="1">
      <alignment horizontal="right" vertical="center" wrapText="1"/>
    </xf>
    <xf numFmtId="0" fontId="22" fillId="0" borderId="0" xfId="0" applyFont="1" applyFill="1"/>
    <xf numFmtId="0" fontId="23" fillId="0" borderId="1" xfId="1" applyBorder="1" applyAlignment="1" applyProtection="1">
      <alignment horizontal="right" vertical="center" wrapText="1"/>
      <protection locked="0"/>
    </xf>
    <xf numFmtId="0" fontId="5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42"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</dxfs>
  <tableStyles count="0" defaultTableStyle="TableStyleMedium2" defaultPivotStyle="PivotStyleLight16"/>
  <colors>
    <mruColors>
      <color rgb="FFC26D18"/>
      <color rgb="FFE58A2E"/>
      <color rgb="FFF7DB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19057</xdr:colOff>
      <xdr:row>0</xdr:row>
      <xdr:rowOff>6</xdr:rowOff>
    </xdr:from>
    <xdr:to>
      <xdr:col>2</xdr:col>
      <xdr:colOff>1719270</xdr:colOff>
      <xdr:row>4</xdr:row>
      <xdr:rowOff>100019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7" y="6"/>
          <a:ext cx="1700213" cy="471488"/>
        </a:xfrm>
        <a:prstGeom prst="rect">
          <a:avLst/>
        </a:prstGeom>
      </xdr:spPr>
    </xdr:pic>
    <xdr:clientData/>
  </xdr:twoCellAnchor>
  <xdr:twoCellAnchor>
    <xdr:from>
      <xdr:col>3</xdr:col>
      <xdr:colOff>1270746</xdr:colOff>
      <xdr:row>13</xdr:row>
      <xdr:rowOff>114300</xdr:rowOff>
    </xdr:from>
    <xdr:to>
      <xdr:col>3</xdr:col>
      <xdr:colOff>2170746</xdr:colOff>
      <xdr:row>14</xdr:row>
      <xdr:rowOff>126918</xdr:rowOff>
    </xdr:to>
    <xdr:sp macro="[0]!Transpose_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42596" y="3352800"/>
          <a:ext cx="900000" cy="355518"/>
        </a:xfrm>
        <a:prstGeom prst="roundRect">
          <a:avLst/>
        </a:prstGeom>
        <a:solidFill>
          <a:srgbClr val="E58A2E"/>
        </a:solidFill>
        <a:ln>
          <a:solidFill>
            <a:srgbClr val="F7DBBF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0">
              <a:latin typeface="+mj-lt"/>
            </a:rPr>
            <a:t>Save</a:t>
          </a:r>
        </a:p>
      </xdr:txBody>
    </xdr:sp>
    <xdr:clientData/>
  </xdr:twoCellAnchor>
  <xdr:twoCellAnchor>
    <xdr:from>
      <xdr:col>3</xdr:col>
      <xdr:colOff>1270746</xdr:colOff>
      <xdr:row>14</xdr:row>
      <xdr:rowOff>174810</xdr:rowOff>
    </xdr:from>
    <xdr:to>
      <xdr:col>3</xdr:col>
      <xdr:colOff>2170746</xdr:colOff>
      <xdr:row>15</xdr:row>
      <xdr:rowOff>83910</xdr:rowOff>
    </xdr:to>
    <xdr:sp macro="[0]!Export_Data_to_CSV_JSO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42596" y="3756210"/>
          <a:ext cx="900000" cy="252000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tx2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0">
              <a:solidFill>
                <a:schemeClr val="tx2"/>
              </a:solidFill>
              <a:latin typeface="+mj-lt"/>
            </a:rPr>
            <a:t>Export CSV</a:t>
          </a:r>
        </a:p>
      </xdr:txBody>
    </xdr:sp>
    <xdr:clientData/>
  </xdr:twoCellAnchor>
  <xdr:twoCellAnchor>
    <xdr:from>
      <xdr:col>7</xdr:col>
      <xdr:colOff>5772158</xdr:colOff>
      <xdr:row>5</xdr:row>
      <xdr:rowOff>66680</xdr:rowOff>
    </xdr:from>
    <xdr:to>
      <xdr:col>7</xdr:col>
      <xdr:colOff>5988158</xdr:colOff>
      <xdr:row>5</xdr:row>
      <xdr:rowOff>282680</xdr:rowOff>
    </xdr:to>
    <xdr:sp macro="[0]!InsertYear" textlink="">
      <xdr:nvSpPr>
        <xdr:cNvPr id="5" name="Rounded Rectangle 1">
          <a:extLst>
            <a:ext uri="{FF2B5EF4-FFF2-40B4-BE49-F238E27FC236}">
              <a16:creationId xmlns:a16="http://schemas.microsoft.com/office/drawing/2014/main" id="{9FEADEDE-BE13-408F-B260-899A3FE75635}"/>
            </a:ext>
          </a:extLst>
        </xdr:cNvPr>
        <xdr:cNvSpPr>
          <a:spLocks/>
        </xdr:cNvSpPr>
      </xdr:nvSpPr>
      <xdr:spPr>
        <a:xfrm>
          <a:off x="11811008" y="809630"/>
          <a:ext cx="216000" cy="216000"/>
        </a:xfrm>
        <a:prstGeom prst="roundRect">
          <a:avLst/>
        </a:prstGeom>
        <a:solidFill>
          <a:srgbClr val="E58A2E"/>
        </a:solidFill>
        <a:ln>
          <a:solidFill>
            <a:srgbClr val="F7DBBF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IE" sz="1600" b="0">
              <a:latin typeface="+mj-lt"/>
            </a:rPr>
            <a:t>+</a:t>
          </a:r>
        </a:p>
      </xdr:txBody>
    </xdr:sp>
    <xdr:clientData/>
  </xdr:twoCellAnchor>
  <xdr:twoCellAnchor>
    <xdr:from>
      <xdr:col>3</xdr:col>
      <xdr:colOff>311524</xdr:colOff>
      <xdr:row>14</xdr:row>
      <xdr:rowOff>174810</xdr:rowOff>
    </xdr:from>
    <xdr:to>
      <xdr:col>3</xdr:col>
      <xdr:colOff>1211524</xdr:colOff>
      <xdr:row>15</xdr:row>
      <xdr:rowOff>83910</xdr:rowOff>
    </xdr:to>
    <xdr:sp macro="[0]!Clear_InputRange" textlink="">
      <xdr:nvSpPr>
        <xdr:cNvPr id="6" name="Rounded Rectangle 1">
          <a:extLst>
            <a:ext uri="{FF2B5EF4-FFF2-40B4-BE49-F238E27FC236}">
              <a16:creationId xmlns:a16="http://schemas.microsoft.com/office/drawing/2014/main" id="{9C3422A5-75D8-419D-A7BD-F2D1BCF1DBD7}"/>
            </a:ext>
          </a:extLst>
        </xdr:cNvPr>
        <xdr:cNvSpPr/>
      </xdr:nvSpPr>
      <xdr:spPr>
        <a:xfrm>
          <a:off x="3683374" y="3756210"/>
          <a:ext cx="900000" cy="252000"/>
        </a:xfrm>
        <a:prstGeom prst="roundRect">
          <a:avLst/>
        </a:prstGeom>
        <a:solidFill>
          <a:srgbClr val="F7DBBF"/>
        </a:solidFill>
        <a:ln>
          <a:solidFill>
            <a:srgbClr val="E58A2E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0">
              <a:solidFill>
                <a:srgbClr val="C26D18"/>
              </a:solidFill>
              <a:latin typeface="+mj-lt"/>
            </a:rPr>
            <a:t>Clear Fields</a:t>
          </a:r>
        </a:p>
      </xdr:txBody>
    </xdr:sp>
    <xdr:clientData/>
  </xdr:twoCellAnchor>
  <xdr:twoCellAnchor>
    <xdr:from>
      <xdr:col>3</xdr:col>
      <xdr:colOff>888627</xdr:colOff>
      <xdr:row>15</xdr:row>
      <xdr:rowOff>133348</xdr:rowOff>
    </xdr:from>
    <xdr:to>
      <xdr:col>3</xdr:col>
      <xdr:colOff>1500627</xdr:colOff>
      <xdr:row>16</xdr:row>
      <xdr:rowOff>4348</xdr:rowOff>
    </xdr:to>
    <xdr:sp macro="[0]!LockWorkbook" textlink="">
      <xdr:nvSpPr>
        <xdr:cNvPr id="7" name="Rounded Rectangle 1">
          <a:extLst>
            <a:ext uri="{FF2B5EF4-FFF2-40B4-BE49-F238E27FC236}">
              <a16:creationId xmlns:a16="http://schemas.microsoft.com/office/drawing/2014/main" id="{E612705D-FD8E-4C00-97F8-BCE75BAD2CFC}"/>
            </a:ext>
          </a:extLst>
        </xdr:cNvPr>
        <xdr:cNvSpPr/>
      </xdr:nvSpPr>
      <xdr:spPr>
        <a:xfrm>
          <a:off x="4260477" y="4057648"/>
          <a:ext cx="612000" cy="252000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0">
              <a:solidFill>
                <a:schemeClr val="bg1">
                  <a:lumMod val="50000"/>
                </a:schemeClr>
              </a:solidFill>
              <a:latin typeface="+mj-lt"/>
            </a:rPr>
            <a:t>Lock</a:t>
          </a:r>
        </a:p>
      </xdr:txBody>
    </xdr:sp>
    <xdr:clientData/>
  </xdr:twoCellAnchor>
  <xdr:twoCellAnchor>
    <xdr:from>
      <xdr:col>3</xdr:col>
      <xdr:colOff>1550895</xdr:colOff>
      <xdr:row>15</xdr:row>
      <xdr:rowOff>133348</xdr:rowOff>
    </xdr:from>
    <xdr:to>
      <xdr:col>3</xdr:col>
      <xdr:colOff>2162895</xdr:colOff>
      <xdr:row>16</xdr:row>
      <xdr:rowOff>4348</xdr:rowOff>
    </xdr:to>
    <xdr:sp macro="[0]!UnlockWorkbook" textlink="">
      <xdr:nvSpPr>
        <xdr:cNvPr id="8" name="Rounded Rectangle 1">
          <a:extLst>
            <a:ext uri="{FF2B5EF4-FFF2-40B4-BE49-F238E27FC236}">
              <a16:creationId xmlns:a16="http://schemas.microsoft.com/office/drawing/2014/main" id="{490D79C0-D2FF-4C55-9874-33D6155071A1}"/>
            </a:ext>
          </a:extLst>
        </xdr:cNvPr>
        <xdr:cNvSpPr/>
      </xdr:nvSpPr>
      <xdr:spPr>
        <a:xfrm>
          <a:off x="4922745" y="4057648"/>
          <a:ext cx="612000" cy="252000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0">
              <a:solidFill>
                <a:schemeClr val="bg1">
                  <a:lumMod val="50000"/>
                </a:schemeClr>
              </a:solidFill>
              <a:latin typeface="+mj-lt"/>
            </a:rPr>
            <a:t>Unlock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1" displayName="Table1" ref="A1:AJ2" insertRow="1" totalsRowShown="0" headerRowDxfId="1" tableBorderDxfId="0">
  <autoFilter ref="A1:AJ2" xr:uid="{00000000-0009-0000-0100-000004000000}"/>
  <sortState xmlns:xlrd2="http://schemas.microsoft.com/office/spreadsheetml/2017/richdata2" ref="A2:AJ2">
    <sortCondition ref="D2"/>
    <sortCondition descending="1" ref="AB2"/>
  </sortState>
  <tableColumns count="36">
    <tableColumn id="1" xr3:uid="{00000000-0010-0000-0000-000001000000}" name="currency"/>
    <tableColumn id="2" xr3:uid="{00000000-0010-0000-0000-000002000000}" name="iso_code"/>
    <tableColumn id="3" xr3:uid="{00000000-0010-0000-0000-000003000000}" name="company_id"/>
    <tableColumn id="4" xr3:uid="{00000000-0010-0000-0000-000004000000}" name="details_name"/>
    <tableColumn id="5" xr3:uid="{00000000-0010-0000-0000-000005000000}" name="details_industry_sector_code"/>
    <tableColumn id="6" xr3:uid="{00000000-0010-0000-0000-000006000000}" name="details_website"/>
    <tableColumn id="7" xr3:uid="{00000000-0010-0000-0000-000007000000}" name="details_nace_code"/>
    <tableColumn id="8" xr3:uid="{00000000-0010-0000-0000-000008000000}" name="details_number_of_directors"/>
    <tableColumn id="9" xr3:uid="{00000000-0010-0000-0000-000009000000}" name="details_number_of_subsidiaries"/>
    <tableColumn id="10" xr3:uid="{00000000-0010-0000-0000-00000A000000}" name="number_of_employees"/>
    <tableColumn id="11" xr3:uid="{00000000-0010-0000-0000-00000B000000}" name="cash_and_equivalents"/>
    <tableColumn id="12" xr3:uid="{00000000-0010-0000-0000-00000C000000}" name="creditors"/>
    <tableColumn id="13" xr3:uid="{00000000-0010-0000-0000-00000D000000}" name="current_assets"/>
    <tableColumn id="14" xr3:uid="{00000000-0010-0000-0000-00000E000000}" name="current_liabilities"/>
    <tableColumn id="15" xr3:uid="{00000000-0010-0000-0000-00000F000000}" name="debtors"/>
    <tableColumn id="16" xr3:uid="{00000000-0010-0000-0000-000010000000}" name="ebit"/>
    <tableColumn id="17" xr3:uid="{00000000-0010-0000-0000-000011000000}" name="ebitda"/>
    <tableColumn id="18" xr3:uid="{00000000-0010-0000-0000-000012000000}" name="fixed_assets"/>
    <tableColumn id="19" xr3:uid="{00000000-0010-0000-0000-000013000000}" name="intangible_fixed_assets"/>
    <tableColumn id="20" xr3:uid="{00000000-0010-0000-0000-000014000000}" name="interest_expenses"/>
    <tableColumn id="21" xr3:uid="{00000000-0010-0000-0000-000015000000}" name="inventory"/>
    <tableColumn id="22" xr3:uid="{00000000-0010-0000-0000-000016000000}" name="loans"/>
    <tableColumn id="23" xr3:uid="{00000000-0010-0000-0000-000017000000}" name="long_term_debt"/>
    <tableColumn id="24" xr3:uid="{00000000-0010-0000-0000-000018000000}" name="management_experience"/>
    <tableColumn id="25" xr3:uid="{00000000-0010-0000-0000-000019000000}" name="net_income"/>
    <tableColumn id="26" xr3:uid="{00000000-0010-0000-0000-00001A000000}" name="non_current_liabilities"/>
    <tableColumn id="27" xr3:uid="{00000000-0010-0000-0000-00001B000000}" name="other_non_current_liabilities"/>
    <tableColumn id="28" xr3:uid="{FDEA34FF-1E66-4A87-8B25-7D1294727D0F}" name="period"/>
    <tableColumn id="29" xr3:uid="{51BD9C5B-0506-4D8C-9FFF-BB7C24AC52FE}" name="retained_earnings"/>
    <tableColumn id="30" xr3:uid="{E14AD8B0-1159-472A-A5AC-0691DD550042}" name="short_term_debt"/>
    <tableColumn id="31" xr3:uid="{0B8DE0EC-7B01-4DD9-A182-6218EFE5E9CC}" name="tangible_fixed_assets"/>
    <tableColumn id="32" xr3:uid="{93B0A344-874E-4E4E-803C-DBBC918BF937}" name="total_assets"/>
    <tableColumn id="33" xr3:uid="{3892EE38-DDAC-4C1D-A2BC-3F87F965BF2E}" name="total_liabilities"/>
    <tableColumn id="34" xr3:uid="{BC411FD2-0261-408E-ADCC-6645EA424C01}" name="total_shareholder_equity"/>
    <tableColumn id="35" xr3:uid="{CC596A34-6537-40DA-A020-20E2ED4851D7}" name="turnover"/>
    <tableColumn id="36" xr3:uid="{87EF2422-F298-45AE-83B6-1B4E4200E73E}" name="working_capit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46"/>
  <sheetViews>
    <sheetView showGridLines="0" showRowColHeaders="0" tabSelected="1" zoomScaleNormal="100" workbookViewId="0">
      <pane xSplit="8" ySplit="6" topLeftCell="I7" activePane="bottomRight" state="frozen"/>
      <selection pane="topRight" activeCell="I1" sqref="I1"/>
      <selection pane="bottomLeft" activeCell="A8" sqref="A8"/>
      <selection pane="bottomRight" activeCell="C13" sqref="C13:D13"/>
    </sheetView>
  </sheetViews>
  <sheetFormatPr defaultColWidth="9.140625" defaultRowHeight="15" x14ac:dyDescent="0.25"/>
  <cols>
    <col min="1" max="1" width="1.7109375" style="1" customWidth="1"/>
    <col min="2" max="2" width="2.7109375" style="2" customWidth="1"/>
    <col min="3" max="3" width="46.140625" style="1" customWidth="1"/>
    <col min="4" max="4" width="33.7109375" style="5" customWidth="1"/>
    <col min="5" max="5" width="3.5703125" style="21" bestFit="1" customWidth="1"/>
    <col min="6" max="6" width="1.7109375" style="21" customWidth="1"/>
    <col min="7" max="7" width="2.7109375" style="21" customWidth="1"/>
    <col min="8" max="8" width="90.42578125" style="21" bestFit="1" customWidth="1"/>
    <col min="9" max="9" width="12.140625" style="21" customWidth="1"/>
    <col min="10" max="10" width="1.7109375" style="38" bestFit="1" customWidth="1"/>
    <col min="11" max="11" width="3.5703125" style="21" bestFit="1" customWidth="1"/>
    <col min="12" max="12" width="2.7109375" style="1" customWidth="1"/>
    <col min="13" max="13" width="26" style="42" customWidth="1"/>
    <col min="14" max="14" width="10" style="42" customWidth="1"/>
    <col min="15" max="15" width="2.5703125" style="43" customWidth="1"/>
    <col min="16" max="16384" width="9.140625" style="1"/>
  </cols>
  <sheetData>
    <row r="1" spans="2:15" ht="5.0999999999999996" customHeight="1" x14ac:dyDescent="0.25"/>
    <row r="2" spans="2:15" ht="5.0999999999999996" customHeight="1" x14ac:dyDescent="0.25">
      <c r="B2" s="3"/>
      <c r="C2" s="4"/>
      <c r="D2" s="6"/>
      <c r="E2" s="22"/>
      <c r="F2" s="22"/>
      <c r="G2" s="22"/>
      <c r="H2" s="22"/>
      <c r="I2" s="22"/>
      <c r="J2" s="39"/>
      <c r="K2" s="22"/>
      <c r="O2" s="44"/>
    </row>
    <row r="3" spans="2:15" ht="15.75" x14ac:dyDescent="0.25">
      <c r="B3" s="20"/>
      <c r="C3" s="4"/>
      <c r="D3" s="20" t="s">
        <v>551</v>
      </c>
      <c r="E3" s="22"/>
      <c r="F3" s="22"/>
      <c r="G3" s="22"/>
      <c r="H3" s="22"/>
      <c r="I3" s="22"/>
      <c r="J3" s="39"/>
      <c r="K3" s="22"/>
      <c r="N3" s="42">
        <f>COUNTIFS(E7:E13,"û")+COUNTIFS(K6:K48,"û")</f>
        <v>23</v>
      </c>
      <c r="O3" s="44"/>
    </row>
    <row r="4" spans="2:15" ht="5.0999999999999996" customHeight="1" x14ac:dyDescent="0.25">
      <c r="B4" s="3"/>
      <c r="C4" s="4"/>
      <c r="D4" s="6"/>
      <c r="E4" s="22"/>
      <c r="F4" s="22"/>
      <c r="G4" s="22"/>
      <c r="H4" s="22"/>
      <c r="I4" s="22"/>
      <c r="J4" s="39"/>
      <c r="K4" s="22"/>
      <c r="O4" s="44"/>
    </row>
    <row r="5" spans="2:15" s="7" customFormat="1" ht="9.9499999999999993" customHeight="1" x14ac:dyDescent="0.2">
      <c r="I5" s="35"/>
      <c r="J5" s="40" t="s">
        <v>2</v>
      </c>
      <c r="M5" s="42"/>
      <c r="N5" s="42">
        <v>0</v>
      </c>
      <c r="O5" s="42" t="s">
        <v>549</v>
      </c>
    </row>
    <row r="6" spans="2:15" ht="27" x14ac:dyDescent="0.25">
      <c r="B6" s="28"/>
      <c r="C6" s="36" t="s">
        <v>0</v>
      </c>
      <c r="D6" s="37"/>
      <c r="E6" s="25"/>
      <c r="F6" s="23"/>
      <c r="G6" s="31" t="s">
        <v>546</v>
      </c>
      <c r="H6" s="24" t="s">
        <v>1</v>
      </c>
      <c r="I6" s="33"/>
      <c r="J6" s="41" t="s">
        <v>548</v>
      </c>
      <c r="K6" s="23" t="str">
        <f t="shared" ref="K6:K23" si="0">IF(COUNTBLANK(I6:J6)&gt;0,"û","ü")</f>
        <v>û</v>
      </c>
      <c r="L6" s="21"/>
      <c r="M6" s="45" t="s">
        <v>16</v>
      </c>
      <c r="N6" s="46" t="e">
        <f>VLOOKUP($D$11,Ref_Sheet!$K$2:$L$171,2,FALSE)</f>
        <v>#N/A</v>
      </c>
      <c r="O6" s="47" t="s">
        <v>548</v>
      </c>
    </row>
    <row r="7" spans="2:15" ht="27" x14ac:dyDescent="0.25">
      <c r="B7" s="31" t="s">
        <v>546</v>
      </c>
      <c r="C7" s="24" t="s">
        <v>3</v>
      </c>
      <c r="D7" s="32"/>
      <c r="E7" s="25" t="str">
        <f t="shared" ref="E7" si="1">IF(ISBLANK(D7),"û","ü")</f>
        <v>û</v>
      </c>
      <c r="F7" s="23"/>
      <c r="G7" s="31" t="s">
        <v>546</v>
      </c>
      <c r="H7" s="27" t="s">
        <v>4</v>
      </c>
      <c r="I7" s="34"/>
      <c r="J7" s="41" t="s">
        <v>548</v>
      </c>
      <c r="K7" s="23" t="str">
        <f t="shared" si="0"/>
        <v>û</v>
      </c>
      <c r="L7" s="21"/>
      <c r="M7" s="45" t="s">
        <v>552</v>
      </c>
      <c r="N7" s="46" t="e">
        <f>VLOOKUP($D$9,Ref_Sheet!$B$2:$C$248,2,FALSE)</f>
        <v>#N/A</v>
      </c>
      <c r="O7" s="47" t="s">
        <v>548</v>
      </c>
    </row>
    <row r="8" spans="2:15" ht="27" x14ac:dyDescent="0.25">
      <c r="B8" s="31"/>
      <c r="C8" s="24" t="s">
        <v>586</v>
      </c>
      <c r="D8" s="32"/>
      <c r="E8" s="23" t="s">
        <v>22</v>
      </c>
      <c r="F8" s="23"/>
      <c r="G8" s="31" t="s">
        <v>546</v>
      </c>
      <c r="H8" s="27" t="s">
        <v>6</v>
      </c>
      <c r="I8" s="34"/>
      <c r="J8" s="41" t="s">
        <v>548</v>
      </c>
      <c r="K8" s="23" t="str">
        <f t="shared" si="0"/>
        <v>û</v>
      </c>
      <c r="L8" s="21"/>
      <c r="M8" s="45" t="s">
        <v>553</v>
      </c>
      <c r="N8" s="46" t="str">
        <f>IF(ISBLANK($D$8),"",$D$8)</f>
        <v/>
      </c>
      <c r="O8" s="47" t="s">
        <v>548</v>
      </c>
    </row>
    <row r="9" spans="2:15" ht="27" x14ac:dyDescent="0.25">
      <c r="B9" s="31" t="s">
        <v>546</v>
      </c>
      <c r="C9" s="24" t="s">
        <v>5</v>
      </c>
      <c r="D9" s="32"/>
      <c r="E9" s="25" t="str">
        <f>IF(ISBLANK(D9),"û","ü")</f>
        <v>û</v>
      </c>
      <c r="F9" s="23"/>
      <c r="G9" s="31" t="s">
        <v>546</v>
      </c>
      <c r="H9" s="27" t="s">
        <v>8</v>
      </c>
      <c r="I9" s="34"/>
      <c r="J9" s="41" t="s">
        <v>548</v>
      </c>
      <c r="K9" s="23" t="str">
        <f t="shared" si="0"/>
        <v>û</v>
      </c>
      <c r="L9" s="21"/>
      <c r="M9" s="45" t="s">
        <v>554</v>
      </c>
      <c r="N9" s="46">
        <f>IF($D$6="Yes",$D$7&amp;" (Stress)",$D$7)</f>
        <v>0</v>
      </c>
      <c r="O9" s="47" t="s">
        <v>548</v>
      </c>
    </row>
    <row r="10" spans="2:15" ht="27" x14ac:dyDescent="0.25">
      <c r="B10" s="31"/>
      <c r="C10" s="24" t="s">
        <v>587</v>
      </c>
      <c r="D10" s="49"/>
      <c r="E10" s="23" t="s">
        <v>22</v>
      </c>
      <c r="F10" s="23"/>
      <c r="G10" s="31" t="s">
        <v>546</v>
      </c>
      <c r="H10" s="27" t="s">
        <v>11</v>
      </c>
      <c r="I10" s="34"/>
      <c r="J10" s="41" t="s">
        <v>548</v>
      </c>
      <c r="K10" s="23" t="str">
        <f t="shared" si="0"/>
        <v>û</v>
      </c>
      <c r="L10" s="21"/>
      <c r="M10" s="45" t="s">
        <v>555</v>
      </c>
      <c r="N10" s="46" t="e">
        <f>VLOOKUP($D$12,Ref_Sheet!$E$2:$F$32,2,FALSE)</f>
        <v>#N/A</v>
      </c>
      <c r="O10" s="47" t="s">
        <v>548</v>
      </c>
    </row>
    <row r="11" spans="2:15" ht="27" x14ac:dyDescent="0.25">
      <c r="B11" s="31" t="s">
        <v>546</v>
      </c>
      <c r="C11" s="24" t="s">
        <v>9</v>
      </c>
      <c r="D11" s="32"/>
      <c r="E11" s="25" t="str">
        <f>IF(ISBLANK(D11),"û","ü")</f>
        <v>û</v>
      </c>
      <c r="F11" s="23"/>
      <c r="G11" s="31" t="s">
        <v>546</v>
      </c>
      <c r="H11" s="27" t="s">
        <v>15</v>
      </c>
      <c r="I11" s="34"/>
      <c r="J11" s="41" t="s">
        <v>548</v>
      </c>
      <c r="K11" s="23" t="str">
        <f t="shared" si="0"/>
        <v>û</v>
      </c>
      <c r="L11" s="21"/>
      <c r="M11" s="45" t="s">
        <v>556</v>
      </c>
      <c r="N11" s="46" t="str">
        <f>IF(ISBLANK($D$10),"",$D$10)</f>
        <v/>
      </c>
      <c r="O11" s="47" t="s">
        <v>548</v>
      </c>
    </row>
    <row r="12" spans="2:15" ht="27" x14ac:dyDescent="0.25">
      <c r="B12" s="31" t="s">
        <v>546</v>
      </c>
      <c r="C12" s="24" t="s">
        <v>13</v>
      </c>
      <c r="D12" s="32"/>
      <c r="E12" s="25" t="str">
        <f>IF(ISBLANK(D12),"û","ü")</f>
        <v>û</v>
      </c>
      <c r="F12" s="23"/>
      <c r="G12" s="31" t="s">
        <v>546</v>
      </c>
      <c r="H12" s="27" t="s">
        <v>18</v>
      </c>
      <c r="I12" s="34"/>
      <c r="J12" s="41" t="s">
        <v>548</v>
      </c>
      <c r="K12" s="23" t="str">
        <f t="shared" si="0"/>
        <v>û</v>
      </c>
      <c r="L12" s="21"/>
      <c r="M12" s="45" t="s">
        <v>557</v>
      </c>
      <c r="N12" s="46" t="e">
        <f>VLOOKUP($D$13,Ref_Sheet!$H$2:$I$90,2,FALSE)</f>
        <v>#N/A</v>
      </c>
      <c r="O12" s="47" t="s">
        <v>548</v>
      </c>
    </row>
    <row r="13" spans="2:15" ht="27" x14ac:dyDescent="0.25">
      <c r="B13" s="31" t="s">
        <v>546</v>
      </c>
      <c r="C13" s="24" t="s">
        <v>550</v>
      </c>
      <c r="D13" s="32"/>
      <c r="E13" s="25" t="str">
        <f t="shared" ref="E13" si="2">IF(ISBLANK(D13),"û","ü")</f>
        <v>û</v>
      </c>
      <c r="F13" s="23"/>
      <c r="G13" s="31" t="s">
        <v>546</v>
      </c>
      <c r="H13" s="27" t="s">
        <v>19</v>
      </c>
      <c r="I13" s="34"/>
      <c r="J13" s="41" t="s">
        <v>548</v>
      </c>
      <c r="K13" s="23" t="str">
        <f t="shared" si="0"/>
        <v>û</v>
      </c>
      <c r="L13" s="21"/>
      <c r="M13" s="45" t="s">
        <v>558</v>
      </c>
      <c r="N13" s="46" t="str">
        <f>IF(ISBLANK(I31),"",I31)</f>
        <v/>
      </c>
      <c r="O13" s="47" t="s">
        <v>548</v>
      </c>
    </row>
    <row r="14" spans="2:15" ht="27" x14ac:dyDescent="0.25">
      <c r="B14" s="29" t="s">
        <v>546</v>
      </c>
      <c r="C14" s="30" t="s">
        <v>547</v>
      </c>
      <c r="E14" s="26"/>
      <c r="F14" s="23"/>
      <c r="G14" s="31" t="s">
        <v>546</v>
      </c>
      <c r="H14" s="27" t="s">
        <v>20</v>
      </c>
      <c r="I14" s="34"/>
      <c r="J14" s="41" t="s">
        <v>548</v>
      </c>
      <c r="K14" s="23" t="str">
        <f t="shared" si="0"/>
        <v>û</v>
      </c>
      <c r="L14" s="21"/>
      <c r="M14" s="45" t="s">
        <v>559</v>
      </c>
      <c r="N14" s="46" t="str">
        <f>IF(ISBLANK(I33),"",I33)</f>
        <v/>
      </c>
      <c r="O14" s="47" t="s">
        <v>548</v>
      </c>
    </row>
    <row r="15" spans="2:15" ht="27" x14ac:dyDescent="0.25">
      <c r="F15" s="23"/>
      <c r="G15" s="31" t="s">
        <v>546</v>
      </c>
      <c r="H15" s="27" t="s">
        <v>591</v>
      </c>
      <c r="I15" s="34"/>
      <c r="J15" s="41" t="s">
        <v>548</v>
      </c>
      <c r="K15" s="23" t="str">
        <f t="shared" si="0"/>
        <v>û</v>
      </c>
      <c r="L15" s="21"/>
      <c r="M15" s="45" t="s">
        <v>31</v>
      </c>
      <c r="N15" s="46" t="str">
        <f>IF(ISBLANK(I32),"",I32)</f>
        <v/>
      </c>
      <c r="O15" s="47" t="s">
        <v>548</v>
      </c>
    </row>
    <row r="16" spans="2:15" ht="27" x14ac:dyDescent="0.25">
      <c r="F16" s="23"/>
      <c r="G16" s="31" t="s">
        <v>546</v>
      </c>
      <c r="H16" s="27" t="s">
        <v>596</v>
      </c>
      <c r="I16" s="34"/>
      <c r="J16" s="41" t="s">
        <v>548</v>
      </c>
      <c r="K16" s="23" t="str">
        <f t="shared" si="0"/>
        <v>û</v>
      </c>
      <c r="L16" s="21"/>
      <c r="M16" s="45" t="s">
        <v>560</v>
      </c>
      <c r="N16" s="46" t="str">
        <f>IF(ISBLANK(I11),"",I11)</f>
        <v/>
      </c>
      <c r="O16" s="47" t="s">
        <v>548</v>
      </c>
    </row>
    <row r="17" spans="6:15" ht="27" x14ac:dyDescent="0.25">
      <c r="F17" s="23"/>
      <c r="G17" s="31" t="s">
        <v>546</v>
      </c>
      <c r="H17" s="27" t="s">
        <v>597</v>
      </c>
      <c r="I17" s="34"/>
      <c r="J17" s="41" t="s">
        <v>548</v>
      </c>
      <c r="K17" s="23" t="str">
        <f t="shared" si="0"/>
        <v>û</v>
      </c>
      <c r="L17" s="21"/>
      <c r="M17" s="45" t="s">
        <v>561</v>
      </c>
      <c r="N17" s="46" t="str">
        <f>IF(ISBLANK(I28),"",I28)</f>
        <v/>
      </c>
      <c r="O17" s="47" t="s">
        <v>548</v>
      </c>
    </row>
    <row r="18" spans="6:15" ht="27" x14ac:dyDescent="0.25">
      <c r="F18" s="23"/>
      <c r="G18" s="31" t="s">
        <v>546</v>
      </c>
      <c r="H18" s="27" t="s">
        <v>21</v>
      </c>
      <c r="I18" s="34"/>
      <c r="J18" s="41" t="s">
        <v>548</v>
      </c>
      <c r="K18" s="23" t="str">
        <f t="shared" si="0"/>
        <v>û</v>
      </c>
      <c r="L18" s="21"/>
      <c r="M18" s="45" t="s">
        <v>562</v>
      </c>
      <c r="N18" s="46" t="str">
        <f>IF(ISBLANK(I13),"",I13)</f>
        <v/>
      </c>
      <c r="O18" s="47" t="s">
        <v>548</v>
      </c>
    </row>
    <row r="19" spans="6:15" ht="27" customHeight="1" x14ac:dyDescent="0.25">
      <c r="F19" s="23"/>
      <c r="G19" s="31" t="s">
        <v>546</v>
      </c>
      <c r="H19" s="27" t="s">
        <v>23</v>
      </c>
      <c r="I19" s="34"/>
      <c r="J19" s="41" t="s">
        <v>548</v>
      </c>
      <c r="K19" s="23" t="str">
        <f t="shared" si="0"/>
        <v>û</v>
      </c>
      <c r="L19" s="21"/>
      <c r="M19" s="45" t="s">
        <v>563</v>
      </c>
      <c r="N19" s="46" t="str">
        <f>IF(ISBLANK(I15),"",I15)</f>
        <v/>
      </c>
      <c r="O19" s="47" t="s">
        <v>548</v>
      </c>
    </row>
    <row r="20" spans="6:15" ht="27" x14ac:dyDescent="0.25">
      <c r="F20" s="23"/>
      <c r="G20" s="31" t="s">
        <v>546</v>
      </c>
      <c r="H20" s="27" t="s">
        <v>24</v>
      </c>
      <c r="I20" s="34"/>
      <c r="J20" s="41" t="s">
        <v>548</v>
      </c>
      <c r="K20" s="23" t="str">
        <f t="shared" si="0"/>
        <v>û</v>
      </c>
      <c r="L20" s="21"/>
      <c r="M20" s="45" t="s">
        <v>564</v>
      </c>
      <c r="N20" s="46" t="str">
        <f>IF(ISBLANK(I26),"",I26)</f>
        <v/>
      </c>
      <c r="O20" s="47" t="s">
        <v>548</v>
      </c>
    </row>
    <row r="21" spans="6:15" ht="27" x14ac:dyDescent="0.25">
      <c r="F21" s="23"/>
      <c r="G21" s="31" t="s">
        <v>546</v>
      </c>
      <c r="H21" s="27" t="s">
        <v>26</v>
      </c>
      <c r="I21" s="34"/>
      <c r="J21" s="41" t="s">
        <v>548</v>
      </c>
      <c r="K21" s="23" t="str">
        <f t="shared" si="0"/>
        <v>û</v>
      </c>
      <c r="L21" s="21"/>
      <c r="M21" s="45" t="s">
        <v>565</v>
      </c>
      <c r="N21" s="46" t="str">
        <f>IF(ISBLANK(I30),"",ROUND(I30,0))</f>
        <v/>
      </c>
      <c r="O21" s="47" t="s">
        <v>548</v>
      </c>
    </row>
    <row r="22" spans="6:15" ht="27" x14ac:dyDescent="0.25">
      <c r="F22" s="23"/>
      <c r="G22" s="31" t="s">
        <v>546</v>
      </c>
      <c r="H22" s="27" t="s">
        <v>27</v>
      </c>
      <c r="I22" s="34"/>
      <c r="J22" s="41" t="s">
        <v>548</v>
      </c>
      <c r="K22" s="23" t="str">
        <f t="shared" si="0"/>
        <v>û</v>
      </c>
      <c r="L22" s="21"/>
      <c r="M22" s="45" t="s">
        <v>566</v>
      </c>
      <c r="N22" s="46" t="str">
        <f>IF(ISBLANK(I21),"",ROUND(I21,0))</f>
        <v/>
      </c>
      <c r="O22" s="47" t="s">
        <v>548</v>
      </c>
    </row>
    <row r="23" spans="6:15" ht="27" x14ac:dyDescent="0.25">
      <c r="F23" s="23"/>
      <c r="G23" s="31" t="s">
        <v>546</v>
      </c>
      <c r="H23" s="27" t="s">
        <v>28</v>
      </c>
      <c r="I23" s="34"/>
      <c r="J23" s="41" t="s">
        <v>548</v>
      </c>
      <c r="K23" s="23" t="str">
        <f t="shared" si="0"/>
        <v>û</v>
      </c>
      <c r="L23" s="21"/>
      <c r="M23" s="45" t="s">
        <v>567</v>
      </c>
      <c r="N23" s="46" t="str">
        <f>IF(ISBLANK(I24),"",ROUND(I24,0))</f>
        <v/>
      </c>
      <c r="O23" s="47" t="s">
        <v>548</v>
      </c>
    </row>
    <row r="24" spans="6:15" ht="27" x14ac:dyDescent="0.25">
      <c r="F24" s="23"/>
      <c r="G24" s="31"/>
      <c r="H24" s="27" t="s">
        <v>594</v>
      </c>
      <c r="I24" s="34"/>
      <c r="J24" s="41" t="s">
        <v>548</v>
      </c>
      <c r="K24" s="23" t="s">
        <v>22</v>
      </c>
      <c r="L24" s="21"/>
      <c r="M24" s="45" t="s">
        <v>568</v>
      </c>
      <c r="N24" s="46" t="str">
        <f>IF(ISBLANK(I10),"",I10)</f>
        <v/>
      </c>
      <c r="O24" s="47" t="s">
        <v>548</v>
      </c>
    </row>
    <row r="25" spans="6:15" ht="27" x14ac:dyDescent="0.25">
      <c r="F25" s="23"/>
      <c r="G25" s="31"/>
      <c r="H25" s="27" t="s">
        <v>590</v>
      </c>
      <c r="I25" s="34"/>
      <c r="J25" s="41" t="s">
        <v>548</v>
      </c>
      <c r="K25" s="23" t="s">
        <v>22</v>
      </c>
      <c r="L25" s="21"/>
      <c r="M25" s="45" t="s">
        <v>569</v>
      </c>
      <c r="N25" s="46" t="str">
        <f>IF(ISBLANK(I22),"",I22)</f>
        <v/>
      </c>
      <c r="O25" s="47" t="s">
        <v>548</v>
      </c>
    </row>
    <row r="26" spans="6:15" ht="27" x14ac:dyDescent="0.25">
      <c r="F26" s="23"/>
      <c r="G26" s="31"/>
      <c r="H26" s="27" t="s">
        <v>592</v>
      </c>
      <c r="I26" s="34"/>
      <c r="J26" s="41" t="s">
        <v>548</v>
      </c>
      <c r="K26" s="23" t="s">
        <v>22</v>
      </c>
      <c r="L26" s="21"/>
      <c r="M26" s="45" t="s">
        <v>570</v>
      </c>
      <c r="N26" s="46" t="str">
        <f>IF(ISBLANK(I27),"",I27)</f>
        <v/>
      </c>
      <c r="O26" s="47" t="s">
        <v>548</v>
      </c>
    </row>
    <row r="27" spans="6:15" ht="27" customHeight="1" x14ac:dyDescent="0.25">
      <c r="F27" s="23"/>
      <c r="G27" s="31"/>
      <c r="H27" s="27" t="s">
        <v>595</v>
      </c>
      <c r="I27" s="34"/>
      <c r="J27" s="41" t="s">
        <v>548</v>
      </c>
      <c r="K27" s="23" t="s">
        <v>22</v>
      </c>
      <c r="L27" s="21"/>
      <c r="M27" s="45" t="s">
        <v>571</v>
      </c>
      <c r="N27" s="46" t="str">
        <f>IF(ISBLANK(I29),"",I29)</f>
        <v/>
      </c>
      <c r="O27" s="47" t="s">
        <v>548</v>
      </c>
    </row>
    <row r="28" spans="6:15" ht="27" customHeight="1" x14ac:dyDescent="0.25">
      <c r="F28" s="23"/>
      <c r="G28" s="31"/>
      <c r="H28" s="27" t="s">
        <v>589</v>
      </c>
      <c r="I28" s="34"/>
      <c r="J28" s="41" t="s">
        <v>548</v>
      </c>
      <c r="K28" s="23" t="s">
        <v>22</v>
      </c>
      <c r="L28" s="21"/>
      <c r="M28" s="45" t="s">
        <v>572</v>
      </c>
      <c r="N28" s="46" t="str">
        <f>IF(ISBLANK(I14),"",I14)</f>
        <v/>
      </c>
      <c r="O28" s="47" t="s">
        <v>548</v>
      </c>
    </row>
    <row r="29" spans="6:15" ht="27" customHeight="1" x14ac:dyDescent="0.25">
      <c r="F29" s="23"/>
      <c r="G29" s="31"/>
      <c r="H29" s="27" t="s">
        <v>598</v>
      </c>
      <c r="I29" s="34"/>
      <c r="J29" s="41" t="s">
        <v>548</v>
      </c>
      <c r="K29" s="23" t="s">
        <v>22</v>
      </c>
      <c r="L29" s="21"/>
      <c r="M29" s="45" t="s">
        <v>573</v>
      </c>
      <c r="N29" s="46" t="str">
        <f>IF(ISBLANK(I34),"",I34)</f>
        <v/>
      </c>
      <c r="O29" s="47" t="s">
        <v>548</v>
      </c>
    </row>
    <row r="30" spans="6:15" ht="27" customHeight="1" x14ac:dyDescent="0.25">
      <c r="F30" s="23"/>
      <c r="G30" s="31"/>
      <c r="H30" s="27" t="s">
        <v>25</v>
      </c>
      <c r="I30" s="34"/>
      <c r="J30" s="41" t="s">
        <v>548</v>
      </c>
      <c r="K30" s="23" t="s">
        <v>22</v>
      </c>
      <c r="L30" s="21"/>
      <c r="M30" s="45" t="s">
        <v>574</v>
      </c>
      <c r="N30" s="46" t="str">
        <f>IF(ISBLANK(I23),"",ROUND(I23,0))</f>
        <v/>
      </c>
      <c r="O30" s="47" t="s">
        <v>548</v>
      </c>
    </row>
    <row r="31" spans="6:15" ht="27" customHeight="1" x14ac:dyDescent="0.25">
      <c r="F31" s="23"/>
      <c r="G31" s="31"/>
      <c r="H31" s="27" t="s">
        <v>29</v>
      </c>
      <c r="I31" s="34"/>
      <c r="J31" s="41" t="s">
        <v>548</v>
      </c>
      <c r="K31" s="23" t="s">
        <v>22</v>
      </c>
      <c r="L31" s="21"/>
      <c r="M31" s="45" t="s">
        <v>575</v>
      </c>
      <c r="N31" s="46" t="str">
        <f>IF(ISBLANK(I16),"",I16)</f>
        <v/>
      </c>
      <c r="O31" s="47" t="s">
        <v>548</v>
      </c>
    </row>
    <row r="32" spans="6:15" ht="27" customHeight="1" x14ac:dyDescent="0.25">
      <c r="F32" s="23"/>
      <c r="G32" s="31"/>
      <c r="H32" s="27" t="s">
        <v>30</v>
      </c>
      <c r="I32" s="34"/>
      <c r="J32" s="41" t="s">
        <v>548</v>
      </c>
      <c r="K32" s="23" t="s">
        <v>22</v>
      </c>
      <c r="L32" s="21"/>
      <c r="M32" s="45" t="s">
        <v>576</v>
      </c>
      <c r="N32" s="46" t="str">
        <f>IF(ISBLANK(I17),"",I17)</f>
        <v/>
      </c>
      <c r="O32" s="47" t="s">
        <v>548</v>
      </c>
    </row>
    <row r="33" spans="6:15" ht="27" x14ac:dyDescent="0.25">
      <c r="F33" s="23"/>
      <c r="G33" s="31"/>
      <c r="H33" s="27" t="s">
        <v>588</v>
      </c>
      <c r="I33" s="34"/>
      <c r="J33" s="41" t="s">
        <v>548</v>
      </c>
      <c r="K33" s="23" t="s">
        <v>22</v>
      </c>
      <c r="L33" s="21"/>
      <c r="M33" s="45" t="s">
        <v>577</v>
      </c>
      <c r="N33" s="46">
        <f>I6</f>
        <v>0</v>
      </c>
      <c r="O33" s="47" t="s">
        <v>548</v>
      </c>
    </row>
    <row r="34" spans="6:15" ht="27" x14ac:dyDescent="0.25">
      <c r="G34" s="31"/>
      <c r="H34" s="27" t="s">
        <v>599</v>
      </c>
      <c r="I34" s="34"/>
      <c r="J34" s="41" t="s">
        <v>548</v>
      </c>
      <c r="K34" s="23" t="s">
        <v>22</v>
      </c>
      <c r="M34" s="45" t="s">
        <v>580</v>
      </c>
      <c r="N34" s="46" t="str">
        <f>IF(ISBLANK(I8),"",ROUND(I8,0))</f>
        <v/>
      </c>
      <c r="O34" s="47" t="s">
        <v>548</v>
      </c>
    </row>
    <row r="35" spans="6:15" x14ac:dyDescent="0.25">
      <c r="M35" s="45" t="s">
        <v>578</v>
      </c>
      <c r="N35" s="46" t="str">
        <f>IF(ISBLANK(I13),"",I13)</f>
        <v/>
      </c>
      <c r="O35" s="47" t="s">
        <v>548</v>
      </c>
    </row>
    <row r="36" spans="6:15" x14ac:dyDescent="0.25">
      <c r="M36" s="45" t="s">
        <v>579</v>
      </c>
      <c r="N36" s="46" t="str">
        <f>IF(ISBLANK(I9),"",I9)</f>
        <v/>
      </c>
      <c r="O36" s="47" t="s">
        <v>548</v>
      </c>
    </row>
    <row r="37" spans="6:15" x14ac:dyDescent="0.25">
      <c r="M37" s="45" t="s">
        <v>581</v>
      </c>
      <c r="N37" s="46" t="str">
        <f>IF(ISBLANK(I12),"",I12)</f>
        <v/>
      </c>
      <c r="O37" s="47" t="s">
        <v>548</v>
      </c>
    </row>
    <row r="38" spans="6:15" x14ac:dyDescent="0.25">
      <c r="M38" s="45" t="s">
        <v>582</v>
      </c>
      <c r="N38" s="46" t="str">
        <f>IF(ISBLANK(I18),"",I18)</f>
        <v/>
      </c>
      <c r="O38" s="47" t="s">
        <v>548</v>
      </c>
    </row>
    <row r="39" spans="6:15" x14ac:dyDescent="0.25">
      <c r="M39" s="45" t="s">
        <v>583</v>
      </c>
      <c r="N39" s="46" t="str">
        <f>IF(ISBLANK(I7),"",ROUND(I7,0))</f>
        <v/>
      </c>
      <c r="O39" s="47" t="s">
        <v>548</v>
      </c>
    </row>
    <row r="40" spans="6:15" x14ac:dyDescent="0.25">
      <c r="M40" s="45" t="s">
        <v>584</v>
      </c>
      <c r="N40" s="46" t="str">
        <f>IF(ISBLANK(I20),"",ROUND(I20,0))</f>
        <v/>
      </c>
      <c r="O40" s="47" t="s">
        <v>548</v>
      </c>
    </row>
    <row r="41" spans="6:15" x14ac:dyDescent="0.25">
      <c r="M41" s="45" t="s">
        <v>585</v>
      </c>
      <c r="N41" s="46" t="str">
        <f>IF(ISBLANK(I19),"",ROUND(I19,0))</f>
        <v/>
      </c>
      <c r="O41" s="47" t="s">
        <v>548</v>
      </c>
    </row>
    <row r="43" spans="6:15" x14ac:dyDescent="0.25">
      <c r="M43" s="45"/>
      <c r="N43" s="46"/>
    </row>
    <row r="44" spans="6:15" x14ac:dyDescent="0.25">
      <c r="M44" s="45"/>
      <c r="N44" s="46"/>
    </row>
    <row r="45" spans="6:15" x14ac:dyDescent="0.25">
      <c r="M45" s="45"/>
      <c r="N45" s="46"/>
    </row>
    <row r="46" spans="6:15" x14ac:dyDescent="0.25">
      <c r="M46" s="45"/>
      <c r="N46" s="46"/>
    </row>
  </sheetData>
  <sheetProtection algorithmName="SHA-512" hashValue="um5z28kM7/B/BEav5IDKm1wuKDUHJouyFTd3tcMF2pNjwipdSy5HXtWUm6FKtT7Xf7Y0y1VHdHTJ+2lEyUbnDg==" saltValue="7xn5MewQ2qRLJXwHBFkWHA==" spinCount="100000" sheet="1" objects="1" scenarios="1"/>
  <conditionalFormatting sqref="H7 H9 E11:E12 H8:I8 E6:I6 E7:F7 E9 B11:E11 J6:K10 H10:I10 F8:F34 J18 E35:F52 H18:I21 J19:K21 G23:I23 E5:K5 E1:K1 H11:K14 H24:J28 I29:J29 I15:J17 E53:K1048576 H30:K30 G31:K34 H22:K23">
    <cfRule type="cellIs" dxfId="41" priority="87" operator="equal">
      <formula>"ü"</formula>
    </cfRule>
    <cfRule type="cellIs" dxfId="40" priority="88" operator="equal">
      <formula>"û"</formula>
    </cfRule>
  </conditionalFormatting>
  <conditionalFormatting sqref="O1 O5 O42:O1048576">
    <cfRule type="cellIs" dxfId="39" priority="75" operator="equal">
      <formula>"ü"</formula>
    </cfRule>
    <cfRule type="cellIs" dxfId="38" priority="76" operator="equal">
      <formula>"û"</formula>
    </cfRule>
  </conditionalFormatting>
  <conditionalFormatting sqref="O6:O41">
    <cfRule type="cellIs" dxfId="37" priority="73" operator="equal">
      <formula>"ü"</formula>
    </cfRule>
    <cfRule type="cellIs" dxfId="36" priority="74" operator="equal">
      <formula>"û"</formula>
    </cfRule>
  </conditionalFormatting>
  <conditionalFormatting sqref="E13">
    <cfRule type="cellIs" dxfId="35" priority="63" operator="equal">
      <formula>"ü"</formula>
    </cfRule>
    <cfRule type="cellIs" dxfId="34" priority="64" operator="equal">
      <formula>"û"</formula>
    </cfRule>
  </conditionalFormatting>
  <conditionalFormatting sqref="E8">
    <cfRule type="cellIs" dxfId="33" priority="59" operator="equal">
      <formula>"ü"</formula>
    </cfRule>
    <cfRule type="cellIs" dxfId="32" priority="60" operator="equal">
      <formula>"û"</formula>
    </cfRule>
  </conditionalFormatting>
  <conditionalFormatting sqref="E10">
    <cfRule type="cellIs" dxfId="31" priority="57" operator="equal">
      <formula>"ü"</formula>
    </cfRule>
    <cfRule type="cellIs" dxfId="30" priority="58" operator="equal">
      <formula>"û"</formula>
    </cfRule>
  </conditionalFormatting>
  <conditionalFormatting sqref="K28">
    <cfRule type="cellIs" dxfId="29" priority="51" operator="equal">
      <formula>"ü"</formula>
    </cfRule>
    <cfRule type="cellIs" dxfId="28" priority="52" operator="equal">
      <formula>"û"</formula>
    </cfRule>
  </conditionalFormatting>
  <conditionalFormatting sqref="K25">
    <cfRule type="cellIs" dxfId="27" priority="47" operator="equal">
      <formula>"ü"</formula>
    </cfRule>
    <cfRule type="cellIs" dxfId="26" priority="48" operator="equal">
      <formula>"û"</formula>
    </cfRule>
  </conditionalFormatting>
  <conditionalFormatting sqref="H15">
    <cfRule type="cellIs" dxfId="25" priority="41" operator="equal">
      <formula>"ü"</formula>
    </cfRule>
    <cfRule type="cellIs" dxfId="24" priority="42" operator="equal">
      <formula>"û"</formula>
    </cfRule>
  </conditionalFormatting>
  <conditionalFormatting sqref="K26">
    <cfRule type="cellIs" dxfId="23" priority="37" operator="equal">
      <formula>"ü"</formula>
    </cfRule>
    <cfRule type="cellIs" dxfId="22" priority="38" operator="equal">
      <formula>"û"</formula>
    </cfRule>
  </conditionalFormatting>
  <conditionalFormatting sqref="K24">
    <cfRule type="cellIs" dxfId="21" priority="33" operator="equal">
      <formula>"ü"</formula>
    </cfRule>
    <cfRule type="cellIs" dxfId="20" priority="34" operator="equal">
      <formula>"û"</formula>
    </cfRule>
  </conditionalFormatting>
  <conditionalFormatting sqref="K27">
    <cfRule type="cellIs" dxfId="19" priority="29" operator="equal">
      <formula>"ü"</formula>
    </cfRule>
    <cfRule type="cellIs" dxfId="18" priority="30" operator="equal">
      <formula>"û"</formula>
    </cfRule>
  </conditionalFormatting>
  <conditionalFormatting sqref="K29">
    <cfRule type="cellIs" dxfId="17" priority="25" operator="equal">
      <formula>"ü"</formula>
    </cfRule>
    <cfRule type="cellIs" dxfId="16" priority="26" operator="equal">
      <formula>"û"</formula>
    </cfRule>
  </conditionalFormatting>
  <conditionalFormatting sqref="H29">
    <cfRule type="cellIs" dxfId="15" priority="23" operator="equal">
      <formula>"ü"</formula>
    </cfRule>
    <cfRule type="cellIs" dxfId="14" priority="24" operator="equal">
      <formula>"û"</formula>
    </cfRule>
  </conditionalFormatting>
  <conditionalFormatting sqref="H16">
    <cfRule type="cellIs" dxfId="13" priority="15" operator="equal">
      <formula>"ü"</formula>
    </cfRule>
    <cfRule type="cellIs" dxfId="12" priority="16" operator="equal">
      <formula>"û"</formula>
    </cfRule>
  </conditionalFormatting>
  <conditionalFormatting sqref="H17">
    <cfRule type="cellIs" dxfId="11" priority="9" operator="equal">
      <formula>"ü"</formula>
    </cfRule>
    <cfRule type="cellIs" dxfId="10" priority="10" operator="equal">
      <formula>"û"</formula>
    </cfRule>
  </conditionalFormatting>
  <conditionalFormatting sqref="K15">
    <cfRule type="cellIs" dxfId="9" priority="7" operator="equal">
      <formula>"ü"</formula>
    </cfRule>
    <cfRule type="cellIs" dxfId="8" priority="8" operator="equal">
      <formula>"û"</formula>
    </cfRule>
  </conditionalFormatting>
  <conditionalFormatting sqref="K16">
    <cfRule type="cellIs" dxfId="7" priority="5" operator="equal">
      <formula>"ü"</formula>
    </cfRule>
    <cfRule type="cellIs" dxfId="6" priority="6" operator="equal">
      <formula>"û"</formula>
    </cfRule>
  </conditionalFormatting>
  <conditionalFormatting sqref="K17">
    <cfRule type="cellIs" dxfId="5" priority="3" operator="equal">
      <formula>"ü"</formula>
    </cfRule>
    <cfRule type="cellIs" dxfId="4" priority="4" operator="equal">
      <formula>"û"</formula>
    </cfRule>
  </conditionalFormatting>
  <conditionalFormatting sqref="K18">
    <cfRule type="cellIs" dxfId="3" priority="1" operator="equal">
      <formula>"ü"</formula>
    </cfRule>
    <cfRule type="cellIs" dxfId="2" priority="2" operator="equal">
      <formula>"û"</formula>
    </cfRule>
  </conditionalFormatting>
  <dataValidations count="5">
    <dataValidation type="whole" operator="greaterThanOrEqual" allowBlank="1" showInputMessage="1" showErrorMessage="1" error="Value must be greater than or equal to 0" sqref="I22 I9:I11 I28:I29 I13:I18 I31:I33" xr:uid="{C52DD4D9-321B-463D-88A3-BF29BC49CDF4}">
      <formula1>0</formula1>
    </dataValidation>
    <dataValidation operator="greaterThanOrEqual" allowBlank="1" showInputMessage="1" showErrorMessage="1" error="Value must be greater than or equal to 0" sqref="I23 I19:I21 I30" xr:uid="{ABD8F7DF-E3D0-4E1C-AC36-15F663F80DAF}"/>
    <dataValidation type="whole" operator="notEqual" allowBlank="1" showInputMessage="1" showErrorMessage="1" error="Value must be greater than or equal to 0" sqref="I7" xr:uid="{019CD0D9-6140-4715-A8C9-ED1003C2C76D}">
      <formula1>0</formula1>
    </dataValidation>
    <dataValidation type="whole" operator="greaterThanOrEqual" allowBlank="1" showInputMessage="1" showErrorMessage="1" errorTitle="Total Assets &lt;20k" error="The company is too small to have accruate model results" sqref="I12 I24:I27" xr:uid="{E953E27B-3962-4E84-A988-B2147E76534A}">
      <formula1>20000</formula1>
    </dataValidation>
    <dataValidation type="list" operator="greaterThanOrEqual" allowBlank="1" showInputMessage="1" showErrorMessage="1" error="Value must be greater than or equal to 0" sqref="I34" xr:uid="{94D8589F-9E48-4098-8831-0E623A804E78}">
      <formula1>"High, Medium, Low"</formula1>
    </dataValidation>
  </dataValidations>
  <pageMargins left="0.7" right="0.7" top="0.75" bottom="0.75" header="0.3" footer="0.3"/>
  <pageSetup paperSize="9" orientation="portrait" r:id="rId1"/>
  <ignoredErrors>
    <ignoredError sqref="N17" formula="1"/>
    <ignoredError sqref="N12 N10 N6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2000000}">
          <x14:formula1>
            <xm:f>Ref_Sheet!$B$3:$B$248</xm:f>
          </x14:formula1>
          <xm:sqref>D9</xm:sqref>
        </x14:dataValidation>
        <x14:dataValidation type="list" allowBlank="1" showInputMessage="1" showErrorMessage="1" xr:uid="{00000000-0002-0000-0000-000003000000}">
          <x14:formula1>
            <xm:f>Ref_Sheet!$E$3:$E$31</xm:f>
          </x14:formula1>
          <xm:sqref>D12</xm:sqref>
        </x14:dataValidation>
        <x14:dataValidation type="list" allowBlank="1" showInputMessage="1" showErrorMessage="1" xr:uid="{00000000-0002-0000-0000-000005000000}">
          <x14:formula1>
            <xm:f>Ref_Sheet!$K$3:$K$171</xm:f>
          </x14:formula1>
          <xm:sqref>D11</xm:sqref>
        </x14:dataValidation>
        <x14:dataValidation type="list" allowBlank="1" showInputMessage="1" showErrorMessage="1" xr:uid="{00000000-0002-0000-0000-000006000000}">
          <x14:formula1>
            <xm:f>Ref_Sheet!$P$3:$P$10</xm:f>
          </x14:formula1>
          <xm:sqref>D11:D12</xm:sqref>
        </x14:dataValidation>
        <x14:dataValidation type="list" allowBlank="1" showInputMessage="1" showErrorMessage="1" xr:uid="{00000000-0002-0000-0000-000007000000}">
          <x14:formula1>
            <xm:f>Ref_Sheet!$N$3:$N$14</xm:f>
          </x14:formula1>
          <xm:sqref>I6</xm:sqref>
        </x14:dataValidation>
        <x14:dataValidation type="list" allowBlank="1" showInputMessage="1" showErrorMessage="1" xr:uid="{D5CFFC4F-3CDC-427C-9504-7FEC38BA1E45}">
          <x14:formula1>
            <xm:f>Ref_Sheet!$H$3:$H$90</xm:f>
          </x14:formula1>
          <xm:sqref>D13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248"/>
  <sheetViews>
    <sheetView topLeftCell="A212" zoomScale="85" zoomScaleNormal="85" workbookViewId="0">
      <selection activeCell="B134" sqref="B134"/>
    </sheetView>
  </sheetViews>
  <sheetFormatPr defaultColWidth="9.140625" defaultRowHeight="12.75" x14ac:dyDescent="0.2"/>
  <cols>
    <col min="1" max="1" width="2.85546875" style="8" customWidth="1"/>
    <col min="2" max="2" width="38.85546875" style="8" bestFit="1" customWidth="1"/>
    <col min="3" max="3" width="17" style="50" bestFit="1" customWidth="1"/>
    <col min="4" max="4" width="2.7109375" style="8" customWidth="1"/>
    <col min="5" max="5" width="49" style="8" bestFit="1" customWidth="1"/>
    <col min="6" max="6" width="14.85546875" style="8" bestFit="1" customWidth="1"/>
    <col min="7" max="7" width="2.7109375" style="8" customWidth="1"/>
    <col min="8" max="8" width="117.42578125" style="8" bestFit="1" customWidth="1"/>
    <col min="9" max="9" width="9.42578125" style="8" bestFit="1" customWidth="1"/>
    <col min="10" max="10" width="2.7109375" style="8" customWidth="1"/>
    <col min="11" max="11" width="56.140625" style="8" bestFit="1" customWidth="1"/>
    <col min="12" max="12" width="9.140625" style="8"/>
    <col min="13" max="13" width="2.7109375" style="8" customWidth="1"/>
    <col min="14" max="14" width="9.140625" style="8"/>
    <col min="15" max="15" width="2.7109375" style="8" customWidth="1"/>
    <col min="16" max="16" width="14.140625" style="8" bestFit="1" customWidth="1"/>
    <col min="17" max="16384" width="9.140625" style="8"/>
  </cols>
  <sheetData>
    <row r="2" spans="2:16" x14ac:dyDescent="0.2">
      <c r="B2" s="11" t="s">
        <v>32</v>
      </c>
      <c r="C2" s="11" t="s">
        <v>33</v>
      </c>
      <c r="E2" s="11" t="s">
        <v>34</v>
      </c>
      <c r="F2" s="11" t="s">
        <v>35</v>
      </c>
      <c r="H2" s="11" t="s">
        <v>36</v>
      </c>
      <c r="I2" s="11" t="s">
        <v>12</v>
      </c>
      <c r="K2" s="11" t="s">
        <v>37</v>
      </c>
      <c r="L2" s="11" t="s">
        <v>38</v>
      </c>
      <c r="N2" s="11" t="s">
        <v>39</v>
      </c>
      <c r="P2" s="11" t="s">
        <v>40</v>
      </c>
    </row>
    <row r="3" spans="2:16" x14ac:dyDescent="0.2">
      <c r="B3" s="12" t="s">
        <v>600</v>
      </c>
      <c r="C3" s="13" t="s">
        <v>601</v>
      </c>
      <c r="E3" s="14" t="s">
        <v>41</v>
      </c>
      <c r="F3" s="15">
        <v>10</v>
      </c>
      <c r="H3" s="9" t="s">
        <v>261</v>
      </c>
      <c r="I3" s="10">
        <v>55</v>
      </c>
      <c r="K3" s="8" t="s">
        <v>46</v>
      </c>
      <c r="L3" s="8" t="s">
        <v>47</v>
      </c>
      <c r="N3" s="8">
        <v>2021</v>
      </c>
      <c r="P3" s="8" t="s">
        <v>7</v>
      </c>
    </row>
    <row r="4" spans="2:16" x14ac:dyDescent="0.2">
      <c r="B4" s="12" t="s">
        <v>602</v>
      </c>
      <c r="C4" s="13" t="s">
        <v>603</v>
      </c>
      <c r="E4" s="14" t="s">
        <v>14</v>
      </c>
      <c r="F4" s="15">
        <v>32</v>
      </c>
      <c r="H4" s="9" t="s">
        <v>294</v>
      </c>
      <c r="I4" s="10">
        <v>66</v>
      </c>
      <c r="K4" s="8" t="s">
        <v>51</v>
      </c>
      <c r="L4" s="8" t="s">
        <v>52</v>
      </c>
      <c r="N4" s="8">
        <v>2020</v>
      </c>
      <c r="P4" s="8" t="s">
        <v>48</v>
      </c>
    </row>
    <row r="5" spans="2:16" x14ac:dyDescent="0.2">
      <c r="B5" s="12" t="s">
        <v>604</v>
      </c>
      <c r="C5" s="13" t="s">
        <v>64</v>
      </c>
      <c r="E5" s="14" t="s">
        <v>166</v>
      </c>
      <c r="F5" s="15">
        <v>35</v>
      </c>
      <c r="H5" s="9" t="s">
        <v>381</v>
      </c>
      <c r="I5" s="10">
        <v>99</v>
      </c>
      <c r="K5" s="8" t="s">
        <v>222</v>
      </c>
      <c r="L5" s="8" t="s">
        <v>223</v>
      </c>
      <c r="N5" s="8">
        <v>2019</v>
      </c>
      <c r="P5" s="8" t="s">
        <v>53</v>
      </c>
    </row>
    <row r="6" spans="2:16" x14ac:dyDescent="0.2">
      <c r="B6" s="12" t="s">
        <v>605</v>
      </c>
      <c r="C6" s="13" t="s">
        <v>606</v>
      </c>
      <c r="E6" s="14" t="s">
        <v>161</v>
      </c>
      <c r="F6" s="15">
        <v>34</v>
      </c>
      <c r="H6" s="9" t="s">
        <v>303</v>
      </c>
      <c r="I6" s="10">
        <v>70</v>
      </c>
      <c r="K6" s="8" t="s">
        <v>67</v>
      </c>
      <c r="L6" s="8" t="s">
        <v>68</v>
      </c>
      <c r="N6" s="8">
        <v>2018</v>
      </c>
      <c r="P6" s="8" t="s">
        <v>58</v>
      </c>
    </row>
    <row r="7" spans="2:16" x14ac:dyDescent="0.2">
      <c r="B7" s="12" t="s">
        <v>607</v>
      </c>
      <c r="C7" s="13" t="s">
        <v>608</v>
      </c>
      <c r="E7" s="14" t="s">
        <v>83</v>
      </c>
      <c r="F7" s="15">
        <v>18</v>
      </c>
      <c r="H7" s="9" t="s">
        <v>375</v>
      </c>
      <c r="I7" s="10">
        <v>97</v>
      </c>
      <c r="K7" s="8" t="s">
        <v>73</v>
      </c>
      <c r="L7" s="8" t="s">
        <v>74</v>
      </c>
      <c r="N7" s="8">
        <v>2017</v>
      </c>
      <c r="P7" s="8" t="s">
        <v>63</v>
      </c>
    </row>
    <row r="8" spans="2:16" x14ac:dyDescent="0.2">
      <c r="B8" s="12" t="s">
        <v>609</v>
      </c>
      <c r="C8" s="13" t="s">
        <v>70</v>
      </c>
      <c r="E8" s="14" t="s">
        <v>107</v>
      </c>
      <c r="F8" s="15">
        <v>23</v>
      </c>
      <c r="H8" s="9" t="s">
        <v>366</v>
      </c>
      <c r="I8" s="10">
        <v>94</v>
      </c>
      <c r="K8" s="8" t="s">
        <v>56</v>
      </c>
      <c r="L8" s="8" t="s">
        <v>57</v>
      </c>
      <c r="N8" s="8">
        <v>2016</v>
      </c>
      <c r="P8" s="8" t="s">
        <v>69</v>
      </c>
    </row>
    <row r="9" spans="2:16" x14ac:dyDescent="0.2">
      <c r="B9" s="12" t="s">
        <v>610</v>
      </c>
      <c r="C9" s="13" t="s">
        <v>611</v>
      </c>
      <c r="E9" s="14" t="s">
        <v>102</v>
      </c>
      <c r="F9" s="15">
        <v>22</v>
      </c>
      <c r="H9" s="9" t="s">
        <v>312</v>
      </c>
      <c r="I9" s="10">
        <v>73</v>
      </c>
      <c r="K9" s="8" t="s">
        <v>85</v>
      </c>
      <c r="L9" s="8" t="s">
        <v>86</v>
      </c>
      <c r="N9" s="8">
        <v>2015</v>
      </c>
      <c r="P9" s="8" t="s">
        <v>75</v>
      </c>
    </row>
    <row r="10" spans="2:16" x14ac:dyDescent="0.2">
      <c r="B10" s="12" t="s">
        <v>612</v>
      </c>
      <c r="C10" s="13" t="s">
        <v>613</v>
      </c>
      <c r="E10" s="14" t="s">
        <v>142</v>
      </c>
      <c r="F10" s="15">
        <v>30</v>
      </c>
      <c r="H10" s="9" t="s">
        <v>249</v>
      </c>
      <c r="I10" s="10">
        <v>51</v>
      </c>
      <c r="K10" s="8" t="s">
        <v>79</v>
      </c>
      <c r="L10" s="8" t="s">
        <v>80</v>
      </c>
      <c r="N10" s="8">
        <v>2014</v>
      </c>
      <c r="P10" s="8" t="s">
        <v>81</v>
      </c>
    </row>
    <row r="11" spans="2:16" x14ac:dyDescent="0.2">
      <c r="B11" s="12" t="s">
        <v>614</v>
      </c>
      <c r="C11" s="13" t="s">
        <v>615</v>
      </c>
      <c r="E11" s="14" t="s">
        <v>54</v>
      </c>
      <c r="F11" s="15">
        <v>13</v>
      </c>
      <c r="H11" s="9" t="s">
        <v>306</v>
      </c>
      <c r="I11" s="10">
        <v>71</v>
      </c>
      <c r="K11" s="8" t="s">
        <v>90</v>
      </c>
      <c r="L11" s="8" t="s">
        <v>91</v>
      </c>
      <c r="N11" s="8">
        <v>2013</v>
      </c>
    </row>
    <row r="12" spans="2:16" x14ac:dyDescent="0.2">
      <c r="B12" s="12" t="s">
        <v>616</v>
      </c>
      <c r="C12" s="13" t="s">
        <v>617</v>
      </c>
      <c r="E12" s="14" t="s">
        <v>59</v>
      </c>
      <c r="F12" s="15">
        <v>14</v>
      </c>
      <c r="H12" s="9" t="s">
        <v>221</v>
      </c>
      <c r="I12" s="10">
        <v>42</v>
      </c>
      <c r="K12" s="8" t="s">
        <v>144</v>
      </c>
      <c r="L12" s="8" t="s">
        <v>145</v>
      </c>
      <c r="N12" s="8">
        <v>2012</v>
      </c>
    </row>
    <row r="13" spans="2:16" x14ac:dyDescent="0.2">
      <c r="B13" s="12" t="s">
        <v>618</v>
      </c>
      <c r="C13" s="13" t="s">
        <v>619</v>
      </c>
      <c r="E13" s="14" t="s">
        <v>98</v>
      </c>
      <c r="F13" s="15">
        <v>21</v>
      </c>
      <c r="H13" s="9" t="s">
        <v>282</v>
      </c>
      <c r="I13" s="10">
        <v>62</v>
      </c>
      <c r="K13" s="8" t="s">
        <v>114</v>
      </c>
      <c r="L13" s="8" t="s">
        <v>115</v>
      </c>
      <c r="N13" s="8">
        <v>2011</v>
      </c>
    </row>
    <row r="14" spans="2:16" x14ac:dyDescent="0.2">
      <c r="B14" s="12" t="s">
        <v>620</v>
      </c>
      <c r="C14" s="13" t="s">
        <v>621</v>
      </c>
      <c r="E14" s="14" t="s">
        <v>170</v>
      </c>
      <c r="F14" s="15">
        <v>36</v>
      </c>
      <c r="H14" s="9" t="s">
        <v>217</v>
      </c>
      <c r="I14" s="10">
        <v>41</v>
      </c>
      <c r="K14" s="8" t="s">
        <v>104</v>
      </c>
      <c r="L14" s="8" t="s">
        <v>105</v>
      </c>
      <c r="N14" s="8">
        <v>2010</v>
      </c>
    </row>
    <row r="15" spans="2:16" x14ac:dyDescent="0.2">
      <c r="B15" s="12" t="s">
        <v>622</v>
      </c>
      <c r="C15" s="13" t="s">
        <v>623</v>
      </c>
      <c r="E15" s="14" t="s">
        <v>88</v>
      </c>
      <c r="F15" s="15">
        <v>19</v>
      </c>
      <c r="H15" s="9" t="s">
        <v>354</v>
      </c>
      <c r="I15" s="10">
        <v>90</v>
      </c>
      <c r="K15" s="8" t="s">
        <v>10</v>
      </c>
      <c r="L15" s="8" t="s">
        <v>100</v>
      </c>
    </row>
    <row r="16" spans="2:16" x14ac:dyDescent="0.2">
      <c r="B16" s="12" t="s">
        <v>624</v>
      </c>
      <c r="C16" s="13" t="s">
        <v>625</v>
      </c>
      <c r="E16" s="14" t="s">
        <v>147</v>
      </c>
      <c r="F16" s="15">
        <v>31</v>
      </c>
      <c r="H16" s="9" t="s">
        <v>42</v>
      </c>
      <c r="I16" s="10">
        <v>1</v>
      </c>
      <c r="K16" s="8" t="s">
        <v>158</v>
      </c>
      <c r="L16" s="8" t="s">
        <v>159</v>
      </c>
    </row>
    <row r="17" spans="2:12" x14ac:dyDescent="0.2">
      <c r="B17" s="12" t="s">
        <v>626</v>
      </c>
      <c r="C17" s="13" t="s">
        <v>76</v>
      </c>
      <c r="E17" s="14" t="s">
        <v>93</v>
      </c>
      <c r="F17" s="15">
        <v>20</v>
      </c>
      <c r="H17" s="9" t="s">
        <v>342</v>
      </c>
      <c r="I17" s="10">
        <v>85</v>
      </c>
      <c r="K17" s="8" t="s">
        <v>163</v>
      </c>
      <c r="L17" s="8" t="s">
        <v>164</v>
      </c>
    </row>
    <row r="18" spans="2:12" x14ac:dyDescent="0.2">
      <c r="B18" s="12" t="s">
        <v>627</v>
      </c>
      <c r="C18" s="13" t="s">
        <v>628</v>
      </c>
      <c r="E18" s="14" t="s">
        <v>45</v>
      </c>
      <c r="F18" s="15">
        <v>11</v>
      </c>
      <c r="H18" s="9" t="s">
        <v>197</v>
      </c>
      <c r="I18" s="10">
        <v>35</v>
      </c>
      <c r="K18" s="8" t="s">
        <v>124</v>
      </c>
      <c r="L18" s="8" t="s">
        <v>125</v>
      </c>
    </row>
    <row r="19" spans="2:12" x14ac:dyDescent="0.2">
      <c r="B19" s="12" t="s">
        <v>629</v>
      </c>
      <c r="C19" s="13" t="s">
        <v>630</v>
      </c>
      <c r="E19" s="14" t="s">
        <v>117</v>
      </c>
      <c r="F19" s="15">
        <v>25</v>
      </c>
      <c r="H19" s="9" t="s">
        <v>324</v>
      </c>
      <c r="I19" s="10">
        <v>78</v>
      </c>
      <c r="K19" s="8" t="s">
        <v>149</v>
      </c>
      <c r="L19" s="8" t="s">
        <v>150</v>
      </c>
    </row>
    <row r="20" spans="2:12" x14ac:dyDescent="0.2">
      <c r="B20" s="12" t="s">
        <v>631</v>
      </c>
      <c r="C20" s="13" t="s">
        <v>632</v>
      </c>
      <c r="E20" s="14" t="s">
        <v>77</v>
      </c>
      <c r="F20" s="15">
        <v>17</v>
      </c>
      <c r="H20" s="9" t="s">
        <v>60</v>
      </c>
      <c r="I20" s="10">
        <v>6</v>
      </c>
      <c r="K20" s="8" t="s">
        <v>134</v>
      </c>
      <c r="L20" s="8" t="s">
        <v>135</v>
      </c>
    </row>
    <row r="21" spans="2:12" x14ac:dyDescent="0.2">
      <c r="B21" s="12" t="s">
        <v>633</v>
      </c>
      <c r="C21" s="13" t="s">
        <v>634</v>
      </c>
      <c r="E21" s="14" t="s">
        <v>156</v>
      </c>
      <c r="F21" s="15">
        <v>33</v>
      </c>
      <c r="H21" s="9" t="s">
        <v>288</v>
      </c>
      <c r="I21" s="10">
        <v>64</v>
      </c>
      <c r="K21" s="8" t="s">
        <v>95</v>
      </c>
      <c r="L21" s="8" t="s">
        <v>96</v>
      </c>
    </row>
    <row r="22" spans="2:12" x14ac:dyDescent="0.2">
      <c r="B22" s="12" t="s">
        <v>635</v>
      </c>
      <c r="C22" s="13" t="s">
        <v>636</v>
      </c>
      <c r="E22" s="14" t="s">
        <v>175</v>
      </c>
      <c r="F22" s="15">
        <v>37</v>
      </c>
      <c r="H22" s="9" t="s">
        <v>50</v>
      </c>
      <c r="I22" s="10">
        <v>3</v>
      </c>
      <c r="K22" s="8" t="s">
        <v>153</v>
      </c>
      <c r="L22" s="8" t="s">
        <v>154</v>
      </c>
    </row>
    <row r="23" spans="2:12" x14ac:dyDescent="0.2">
      <c r="B23" s="12" t="s">
        <v>637</v>
      </c>
      <c r="C23" s="13" t="s">
        <v>82</v>
      </c>
      <c r="E23" s="14" t="s">
        <v>127</v>
      </c>
      <c r="F23" s="15">
        <v>27</v>
      </c>
      <c r="H23" s="9" t="s">
        <v>265</v>
      </c>
      <c r="I23" s="10">
        <v>56</v>
      </c>
      <c r="K23" s="8" t="s">
        <v>139</v>
      </c>
      <c r="L23" s="8" t="s">
        <v>140</v>
      </c>
    </row>
    <row r="24" spans="2:12" x14ac:dyDescent="0.2">
      <c r="B24" s="12" t="s">
        <v>638</v>
      </c>
      <c r="C24" s="13" t="s">
        <v>87</v>
      </c>
      <c r="E24" s="14" t="s">
        <v>65</v>
      </c>
      <c r="F24" s="15">
        <v>15</v>
      </c>
      <c r="H24" s="9" t="s">
        <v>17</v>
      </c>
      <c r="I24" s="10">
        <v>2</v>
      </c>
      <c r="K24" s="8" t="s">
        <v>129</v>
      </c>
      <c r="L24" s="8" t="s">
        <v>130</v>
      </c>
    </row>
    <row r="25" spans="2:12" x14ac:dyDescent="0.2">
      <c r="B25" s="12" t="s">
        <v>639</v>
      </c>
      <c r="C25" s="13" t="s">
        <v>640</v>
      </c>
      <c r="E25" s="14" t="s">
        <v>112</v>
      </c>
      <c r="F25" s="15">
        <v>24</v>
      </c>
      <c r="H25" s="9" t="s">
        <v>360</v>
      </c>
      <c r="I25" s="10">
        <v>92</v>
      </c>
      <c r="K25" s="8" t="s">
        <v>109</v>
      </c>
      <c r="L25" s="8" t="s">
        <v>110</v>
      </c>
    </row>
    <row r="26" spans="2:12" x14ac:dyDescent="0.2">
      <c r="B26" s="12" t="s">
        <v>641</v>
      </c>
      <c r="C26" s="13" t="s">
        <v>642</v>
      </c>
      <c r="E26" s="14" t="s">
        <v>132</v>
      </c>
      <c r="F26" s="15">
        <v>28</v>
      </c>
      <c r="H26" s="9" t="s">
        <v>345</v>
      </c>
      <c r="I26" s="10">
        <v>86</v>
      </c>
      <c r="K26" s="8" t="s">
        <v>119</v>
      </c>
      <c r="L26" s="8" t="s">
        <v>120</v>
      </c>
    </row>
    <row r="27" spans="2:12" x14ac:dyDescent="0.2">
      <c r="B27" s="12" t="s">
        <v>643</v>
      </c>
      <c r="C27" s="13" t="s">
        <v>644</v>
      </c>
      <c r="E27" s="14" t="s">
        <v>137</v>
      </c>
      <c r="F27" s="15">
        <v>29</v>
      </c>
      <c r="H27" s="9" t="s">
        <v>285</v>
      </c>
      <c r="I27" s="10">
        <v>63</v>
      </c>
      <c r="K27" s="8" t="s">
        <v>340</v>
      </c>
      <c r="L27" s="8" t="s">
        <v>341</v>
      </c>
    </row>
    <row r="28" spans="2:12" x14ac:dyDescent="0.2">
      <c r="B28" s="12" t="s">
        <v>645</v>
      </c>
      <c r="C28" s="13" t="s">
        <v>646</v>
      </c>
      <c r="E28" s="14" t="s">
        <v>49</v>
      </c>
      <c r="F28" s="15">
        <v>12</v>
      </c>
      <c r="H28" s="9" t="s">
        <v>291</v>
      </c>
      <c r="I28" s="10">
        <v>65</v>
      </c>
      <c r="K28" s="8" t="s">
        <v>168</v>
      </c>
      <c r="L28" s="8" t="s">
        <v>169</v>
      </c>
    </row>
    <row r="29" spans="2:12" x14ac:dyDescent="0.2">
      <c r="B29" s="12" t="s">
        <v>647</v>
      </c>
      <c r="C29" s="13" t="s">
        <v>648</v>
      </c>
      <c r="E29" s="14" t="s">
        <v>180</v>
      </c>
      <c r="F29" s="15">
        <v>38</v>
      </c>
      <c r="H29" s="9" t="s">
        <v>241</v>
      </c>
      <c r="I29" s="10">
        <v>49</v>
      </c>
      <c r="K29" s="8" t="s">
        <v>202</v>
      </c>
      <c r="L29" s="8" t="s">
        <v>203</v>
      </c>
    </row>
    <row r="30" spans="2:12" x14ac:dyDescent="0.2">
      <c r="B30" s="12" t="s">
        <v>649</v>
      </c>
      <c r="C30" s="13" t="s">
        <v>92</v>
      </c>
      <c r="E30" s="14" t="s">
        <v>122</v>
      </c>
      <c r="F30" s="15">
        <v>26</v>
      </c>
      <c r="H30" s="9" t="s">
        <v>300</v>
      </c>
      <c r="I30" s="10">
        <v>69</v>
      </c>
      <c r="K30" s="8" t="s">
        <v>355</v>
      </c>
      <c r="L30" s="8" t="s">
        <v>356</v>
      </c>
    </row>
    <row r="31" spans="2:12" x14ac:dyDescent="0.2">
      <c r="B31" s="12" t="s">
        <v>650</v>
      </c>
      <c r="C31" s="13" t="s">
        <v>651</v>
      </c>
      <c r="E31" s="14" t="s">
        <v>71</v>
      </c>
      <c r="F31" s="15">
        <v>16</v>
      </c>
      <c r="H31" s="9" t="s">
        <v>357</v>
      </c>
      <c r="I31" s="10">
        <v>91</v>
      </c>
      <c r="K31" s="8" t="s">
        <v>182</v>
      </c>
      <c r="L31" s="8" t="s">
        <v>183</v>
      </c>
    </row>
    <row r="32" spans="2:12" x14ac:dyDescent="0.2">
      <c r="B32" s="12" t="s">
        <v>652</v>
      </c>
      <c r="C32" s="13" t="s">
        <v>653</v>
      </c>
      <c r="H32" s="9" t="s">
        <v>152</v>
      </c>
      <c r="I32" s="10">
        <v>24</v>
      </c>
      <c r="K32" s="8" t="s">
        <v>186</v>
      </c>
      <c r="L32" s="8" t="s">
        <v>187</v>
      </c>
    </row>
    <row r="33" spans="2:12" x14ac:dyDescent="0.2">
      <c r="B33" s="12" t="s">
        <v>654</v>
      </c>
      <c r="C33" s="13" t="s">
        <v>655</v>
      </c>
      <c r="H33" s="9" t="s">
        <v>138</v>
      </c>
      <c r="I33" s="10">
        <v>21</v>
      </c>
      <c r="K33" s="8" t="s">
        <v>190</v>
      </c>
      <c r="L33" s="8" t="s">
        <v>191</v>
      </c>
    </row>
    <row r="34" spans="2:12" x14ac:dyDescent="0.2">
      <c r="B34" s="12" t="s">
        <v>656</v>
      </c>
      <c r="C34" s="13" t="s">
        <v>657</v>
      </c>
      <c r="H34" s="9" t="s">
        <v>89</v>
      </c>
      <c r="I34" s="10">
        <v>11</v>
      </c>
      <c r="K34" s="8" t="s">
        <v>530</v>
      </c>
      <c r="L34" s="8" t="s">
        <v>531</v>
      </c>
    </row>
    <row r="35" spans="2:12" x14ac:dyDescent="0.2">
      <c r="B35" s="12" t="s">
        <v>658</v>
      </c>
      <c r="C35" s="13" t="s">
        <v>659</v>
      </c>
      <c r="H35" s="9" t="s">
        <v>133</v>
      </c>
      <c r="I35" s="10">
        <v>20</v>
      </c>
      <c r="K35" s="8" t="s">
        <v>520</v>
      </c>
      <c r="L35" s="8" t="s">
        <v>521</v>
      </c>
    </row>
    <row r="36" spans="2:12" x14ac:dyDescent="0.2">
      <c r="B36" s="12" t="s">
        <v>660</v>
      </c>
      <c r="C36" s="13" t="s">
        <v>97</v>
      </c>
      <c r="H36" s="9" t="s">
        <v>128</v>
      </c>
      <c r="I36" s="10">
        <v>19</v>
      </c>
      <c r="K36" s="8" t="s">
        <v>343</v>
      </c>
      <c r="L36" s="8" t="s">
        <v>344</v>
      </c>
    </row>
    <row r="37" spans="2:12" x14ac:dyDescent="0.2">
      <c r="B37" s="12" t="s">
        <v>661</v>
      </c>
      <c r="C37" s="13" t="s">
        <v>662</v>
      </c>
      <c r="H37" s="9" t="s">
        <v>162</v>
      </c>
      <c r="I37" s="10">
        <v>26</v>
      </c>
      <c r="K37" s="8" t="s">
        <v>534</v>
      </c>
      <c r="L37" s="8" t="s">
        <v>535</v>
      </c>
    </row>
    <row r="38" spans="2:12" x14ac:dyDescent="0.2">
      <c r="B38" s="12" t="s">
        <v>663</v>
      </c>
      <c r="C38" s="13" t="s">
        <v>664</v>
      </c>
      <c r="H38" s="9" t="s">
        <v>167</v>
      </c>
      <c r="I38" s="10">
        <v>27</v>
      </c>
      <c r="K38" s="8" t="s">
        <v>172</v>
      </c>
      <c r="L38" s="8" t="s">
        <v>173</v>
      </c>
    </row>
    <row r="39" spans="2:12" x14ac:dyDescent="0.2">
      <c r="B39" s="12" t="s">
        <v>665</v>
      </c>
      <c r="C39" s="13" t="s">
        <v>666</v>
      </c>
      <c r="H39" s="9" t="s">
        <v>157</v>
      </c>
      <c r="I39" s="10">
        <v>25</v>
      </c>
      <c r="K39" s="8" t="s">
        <v>194</v>
      </c>
      <c r="L39" s="8" t="s">
        <v>195</v>
      </c>
    </row>
    <row r="40" spans="2:12" x14ac:dyDescent="0.2">
      <c r="B40" s="12" t="s">
        <v>667</v>
      </c>
      <c r="C40" s="13" t="s">
        <v>668</v>
      </c>
      <c r="H40" s="9" t="s">
        <v>84</v>
      </c>
      <c r="I40" s="10">
        <v>10</v>
      </c>
      <c r="K40" s="8" t="s">
        <v>292</v>
      </c>
      <c r="L40" s="8" t="s">
        <v>293</v>
      </c>
    </row>
    <row r="41" spans="2:12" x14ac:dyDescent="0.2">
      <c r="B41" s="12" t="s">
        <v>669</v>
      </c>
      <c r="C41" s="13" t="s">
        <v>670</v>
      </c>
      <c r="H41" s="9" t="s">
        <v>185</v>
      </c>
      <c r="I41" s="10">
        <v>31</v>
      </c>
      <c r="K41" s="8" t="s">
        <v>198</v>
      </c>
      <c r="L41" s="8" t="s">
        <v>199</v>
      </c>
    </row>
    <row r="42" spans="2:12" x14ac:dyDescent="0.2">
      <c r="B42" s="12" t="s">
        <v>671</v>
      </c>
      <c r="C42" s="13" t="s">
        <v>672</v>
      </c>
      <c r="H42" s="9" t="s">
        <v>108</v>
      </c>
      <c r="I42" s="10">
        <v>15</v>
      </c>
      <c r="K42" s="8" t="s">
        <v>206</v>
      </c>
      <c r="L42" s="8" t="s">
        <v>207</v>
      </c>
    </row>
    <row r="43" spans="2:12" x14ac:dyDescent="0.2">
      <c r="B43" s="12" t="s">
        <v>673</v>
      </c>
      <c r="C43" s="13" t="s">
        <v>674</v>
      </c>
      <c r="H43" s="9" t="s">
        <v>171</v>
      </c>
      <c r="I43" s="10">
        <v>28</v>
      </c>
      <c r="K43" s="8" t="s">
        <v>214</v>
      </c>
      <c r="L43" s="8" t="s">
        <v>215</v>
      </c>
    </row>
    <row r="44" spans="2:12" x14ac:dyDescent="0.2">
      <c r="B44" s="12" t="s">
        <v>675</v>
      </c>
      <c r="C44" s="13" t="s">
        <v>676</v>
      </c>
      <c r="H44" s="9" t="s">
        <v>176</v>
      </c>
      <c r="I44" s="10">
        <v>29</v>
      </c>
      <c r="K44" s="8" t="s">
        <v>210</v>
      </c>
      <c r="L44" s="8" t="s">
        <v>211</v>
      </c>
    </row>
    <row r="45" spans="2:12" x14ac:dyDescent="0.2">
      <c r="B45" s="12" t="s">
        <v>677</v>
      </c>
      <c r="C45" s="13" t="s">
        <v>678</v>
      </c>
      <c r="H45" s="9" t="s">
        <v>148</v>
      </c>
      <c r="I45" s="10">
        <v>23</v>
      </c>
      <c r="K45" s="8" t="s">
        <v>218</v>
      </c>
      <c r="L45" s="8" t="s">
        <v>219</v>
      </c>
    </row>
    <row r="46" spans="2:12" x14ac:dyDescent="0.2">
      <c r="B46" s="12" t="s">
        <v>679</v>
      </c>
      <c r="C46" s="13" t="s">
        <v>680</v>
      </c>
      <c r="H46" s="9" t="s">
        <v>181</v>
      </c>
      <c r="I46" s="10">
        <v>30</v>
      </c>
      <c r="K46" s="8" t="s">
        <v>526</v>
      </c>
      <c r="L46" s="8" t="s">
        <v>527</v>
      </c>
    </row>
    <row r="47" spans="2:12" x14ac:dyDescent="0.2">
      <c r="B47" s="12" t="s">
        <v>681</v>
      </c>
      <c r="C47" s="13" t="s">
        <v>682</v>
      </c>
      <c r="H47" s="9" t="s">
        <v>118</v>
      </c>
      <c r="I47" s="10">
        <v>17</v>
      </c>
      <c r="K47" s="8" t="s">
        <v>230</v>
      </c>
      <c r="L47" s="8" t="s">
        <v>231</v>
      </c>
    </row>
    <row r="48" spans="2:12" x14ac:dyDescent="0.2">
      <c r="B48" s="12" t="s">
        <v>683</v>
      </c>
      <c r="C48" s="13" t="s">
        <v>684</v>
      </c>
      <c r="H48" s="9" t="s">
        <v>143</v>
      </c>
      <c r="I48" s="10">
        <v>22</v>
      </c>
      <c r="K48" s="8" t="s">
        <v>476</v>
      </c>
      <c r="L48" s="8" t="s">
        <v>477</v>
      </c>
    </row>
    <row r="49" spans="2:12" x14ac:dyDescent="0.2">
      <c r="B49" s="12" t="s">
        <v>685</v>
      </c>
      <c r="C49" s="13" t="s">
        <v>686</v>
      </c>
      <c r="H49" s="9" t="s">
        <v>99</v>
      </c>
      <c r="I49" s="10">
        <v>13</v>
      </c>
      <c r="K49" s="8" t="s">
        <v>234</v>
      </c>
      <c r="L49" s="8" t="s">
        <v>235</v>
      </c>
    </row>
    <row r="50" spans="2:12" x14ac:dyDescent="0.2">
      <c r="B50" s="12" t="s">
        <v>687</v>
      </c>
      <c r="C50" s="13" t="s">
        <v>688</v>
      </c>
      <c r="H50" s="9" t="s">
        <v>94</v>
      </c>
      <c r="I50" s="10">
        <v>12</v>
      </c>
      <c r="K50" s="8" t="s">
        <v>226</v>
      </c>
      <c r="L50" s="8" t="s">
        <v>227</v>
      </c>
    </row>
    <row r="51" spans="2:12" x14ac:dyDescent="0.2">
      <c r="B51" s="12" t="s">
        <v>689</v>
      </c>
      <c r="C51" s="13" t="s">
        <v>690</v>
      </c>
      <c r="H51" s="9" t="s">
        <v>103</v>
      </c>
      <c r="I51" s="10">
        <v>14</v>
      </c>
      <c r="K51" s="8" t="s">
        <v>238</v>
      </c>
      <c r="L51" s="8" t="s">
        <v>239</v>
      </c>
    </row>
    <row r="52" spans="2:12" x14ac:dyDescent="0.2">
      <c r="B52" s="12" t="s">
        <v>691</v>
      </c>
      <c r="C52" s="13" t="s">
        <v>692</v>
      </c>
      <c r="H52" s="9" t="s">
        <v>113</v>
      </c>
      <c r="I52" s="10">
        <v>16</v>
      </c>
      <c r="K52" s="8" t="s">
        <v>242</v>
      </c>
      <c r="L52" s="8" t="s">
        <v>243</v>
      </c>
    </row>
    <row r="53" spans="2:12" x14ac:dyDescent="0.2">
      <c r="B53" s="12" t="s">
        <v>693</v>
      </c>
      <c r="C53" s="13" t="s">
        <v>694</v>
      </c>
      <c r="H53" s="9" t="s">
        <v>55</v>
      </c>
      <c r="I53" s="10">
        <v>5</v>
      </c>
      <c r="K53" s="8" t="s">
        <v>250</v>
      </c>
      <c r="L53" s="8" t="s">
        <v>251</v>
      </c>
    </row>
    <row r="54" spans="2:12" x14ac:dyDescent="0.2">
      <c r="B54" s="12" t="s">
        <v>695</v>
      </c>
      <c r="C54" s="13" t="s">
        <v>696</v>
      </c>
      <c r="H54" s="9" t="s">
        <v>66</v>
      </c>
      <c r="I54" s="10">
        <v>7</v>
      </c>
      <c r="K54" s="8" t="s">
        <v>246</v>
      </c>
      <c r="L54" s="8" t="s">
        <v>247</v>
      </c>
    </row>
    <row r="55" spans="2:12" x14ac:dyDescent="0.2">
      <c r="B55" s="12" t="s">
        <v>697</v>
      </c>
      <c r="C55" s="13" t="s">
        <v>698</v>
      </c>
      <c r="H55" s="9" t="s">
        <v>78</v>
      </c>
      <c r="I55" s="10">
        <v>9</v>
      </c>
      <c r="K55" s="8" t="s">
        <v>274</v>
      </c>
      <c r="L55" s="8" t="s">
        <v>275</v>
      </c>
    </row>
    <row r="56" spans="2:12" x14ac:dyDescent="0.2">
      <c r="B56" s="8" t="s">
        <v>699</v>
      </c>
      <c r="C56" s="50" t="s">
        <v>700</v>
      </c>
      <c r="H56" s="9" t="s">
        <v>273</v>
      </c>
      <c r="I56" s="10">
        <v>59</v>
      </c>
      <c r="K56" s="8" t="s">
        <v>258</v>
      </c>
      <c r="L56" s="8" t="s">
        <v>259</v>
      </c>
    </row>
    <row r="57" spans="2:12" x14ac:dyDescent="0.2">
      <c r="B57" s="8" t="s">
        <v>701</v>
      </c>
      <c r="C57" s="50" t="s">
        <v>101</v>
      </c>
      <c r="H57" s="9" t="s">
        <v>336</v>
      </c>
      <c r="I57" s="10">
        <v>82</v>
      </c>
      <c r="K57" s="8" t="s">
        <v>266</v>
      </c>
      <c r="L57" s="8" t="s">
        <v>267</v>
      </c>
    </row>
    <row r="58" spans="2:12" x14ac:dyDescent="0.2">
      <c r="B58" s="8" t="s">
        <v>702</v>
      </c>
      <c r="C58" s="50" t="s">
        <v>703</v>
      </c>
      <c r="H58" s="9" t="s">
        <v>189</v>
      </c>
      <c r="I58" s="10">
        <v>32</v>
      </c>
      <c r="K58" s="8" t="s">
        <v>270</v>
      </c>
      <c r="L58" s="8" t="s">
        <v>271</v>
      </c>
    </row>
    <row r="59" spans="2:12" x14ac:dyDescent="0.2">
      <c r="B59" s="8" t="s">
        <v>704</v>
      </c>
      <c r="C59" s="50" t="s">
        <v>705</v>
      </c>
      <c r="H59" s="9" t="s">
        <v>72</v>
      </c>
      <c r="I59" s="10">
        <v>8</v>
      </c>
      <c r="K59" s="8" t="s">
        <v>524</v>
      </c>
      <c r="L59" s="8" t="s">
        <v>525</v>
      </c>
    </row>
    <row r="60" spans="2:12" x14ac:dyDescent="0.2">
      <c r="B60" s="8" t="s">
        <v>706</v>
      </c>
      <c r="C60" s="50" t="s">
        <v>106</v>
      </c>
      <c r="H60" s="9" t="s">
        <v>372</v>
      </c>
      <c r="I60" s="10">
        <v>96</v>
      </c>
      <c r="K60" s="8" t="s">
        <v>280</v>
      </c>
      <c r="L60" s="8" t="s">
        <v>281</v>
      </c>
    </row>
    <row r="61" spans="2:12" x14ac:dyDescent="0.2">
      <c r="B61" s="8" t="s">
        <v>707</v>
      </c>
      <c r="C61" s="50" t="s">
        <v>111</v>
      </c>
      <c r="H61" s="9" t="s">
        <v>315</v>
      </c>
      <c r="I61" s="10">
        <v>74</v>
      </c>
      <c r="K61" s="8" t="s">
        <v>262</v>
      </c>
      <c r="L61" s="8" t="s">
        <v>263</v>
      </c>
    </row>
    <row r="62" spans="2:12" x14ac:dyDescent="0.2">
      <c r="B62" s="8" t="s">
        <v>708</v>
      </c>
      <c r="C62" s="50" t="s">
        <v>116</v>
      </c>
      <c r="H62" s="9" t="s">
        <v>257</v>
      </c>
      <c r="I62" s="10">
        <v>53</v>
      </c>
      <c r="K62" s="8" t="s">
        <v>277</v>
      </c>
      <c r="L62" s="8" t="s">
        <v>278</v>
      </c>
    </row>
    <row r="63" spans="2:12" x14ac:dyDescent="0.2">
      <c r="B63" s="8" t="s">
        <v>709</v>
      </c>
      <c r="C63" s="50" t="s">
        <v>710</v>
      </c>
      <c r="H63" s="9" t="s">
        <v>123</v>
      </c>
      <c r="I63" s="10">
        <v>18</v>
      </c>
      <c r="K63" s="8" t="s">
        <v>283</v>
      </c>
      <c r="L63" s="8" t="s">
        <v>284</v>
      </c>
    </row>
    <row r="64" spans="2:12" x14ac:dyDescent="0.2">
      <c r="B64" s="8" t="s">
        <v>711</v>
      </c>
      <c r="C64" s="50" t="s">
        <v>712</v>
      </c>
      <c r="H64" s="9" t="s">
        <v>276</v>
      </c>
      <c r="I64" s="10">
        <v>60</v>
      </c>
      <c r="K64" s="8" t="s">
        <v>295</v>
      </c>
      <c r="L64" s="8" t="s">
        <v>296</v>
      </c>
    </row>
    <row r="65" spans="2:12" x14ac:dyDescent="0.2">
      <c r="B65" s="8" t="s">
        <v>713</v>
      </c>
      <c r="C65" s="50" t="s">
        <v>714</v>
      </c>
      <c r="H65" s="9" t="s">
        <v>339</v>
      </c>
      <c r="I65" s="10">
        <v>84</v>
      </c>
      <c r="K65" s="8" t="s">
        <v>289</v>
      </c>
      <c r="L65" s="8" t="s">
        <v>290</v>
      </c>
    </row>
    <row r="66" spans="2:12" x14ac:dyDescent="0.2">
      <c r="B66" s="8" t="s">
        <v>715</v>
      </c>
      <c r="C66" s="50" t="s">
        <v>716</v>
      </c>
      <c r="H66" s="9" t="s">
        <v>269</v>
      </c>
      <c r="I66" s="10">
        <v>58</v>
      </c>
      <c r="K66" s="8" t="s">
        <v>286</v>
      </c>
      <c r="L66" s="8" t="s">
        <v>287</v>
      </c>
    </row>
    <row r="67" spans="2:12" x14ac:dyDescent="0.2">
      <c r="B67" s="8" t="s">
        <v>717</v>
      </c>
      <c r="C67" s="50" t="s">
        <v>718</v>
      </c>
      <c r="H67" s="9" t="s">
        <v>297</v>
      </c>
      <c r="I67" s="10">
        <v>68</v>
      </c>
      <c r="K67" s="8" t="s">
        <v>298</v>
      </c>
      <c r="L67" s="8" t="s">
        <v>299</v>
      </c>
    </row>
    <row r="68" spans="2:12" x14ac:dyDescent="0.2">
      <c r="B68" s="8" t="s">
        <v>719</v>
      </c>
      <c r="C68" s="50" t="s">
        <v>720</v>
      </c>
      <c r="H68" s="9" t="s">
        <v>213</v>
      </c>
      <c r="I68" s="10">
        <v>39</v>
      </c>
      <c r="K68" s="8" t="s">
        <v>319</v>
      </c>
      <c r="L68" s="8" t="s">
        <v>320</v>
      </c>
    </row>
    <row r="69" spans="2:12" x14ac:dyDescent="0.2">
      <c r="B69" s="8" t="s">
        <v>721</v>
      </c>
      <c r="C69" s="50" t="s">
        <v>722</v>
      </c>
      <c r="H69" s="9" t="s">
        <v>321</v>
      </c>
      <c r="I69" s="10">
        <v>77</v>
      </c>
      <c r="K69" s="8" t="s">
        <v>310</v>
      </c>
      <c r="L69" s="8" t="s">
        <v>311</v>
      </c>
    </row>
    <row r="70" spans="2:12" x14ac:dyDescent="0.2">
      <c r="B70" s="8" t="s">
        <v>723</v>
      </c>
      <c r="C70" s="50" t="s">
        <v>724</v>
      </c>
      <c r="H70" s="9" t="s">
        <v>193</v>
      </c>
      <c r="I70" s="10">
        <v>33</v>
      </c>
      <c r="K70" s="8" t="s">
        <v>301</v>
      </c>
      <c r="L70" s="8" t="s">
        <v>302</v>
      </c>
    </row>
    <row r="71" spans="2:12" x14ac:dyDescent="0.2">
      <c r="B71" s="8" t="s">
        <v>725</v>
      </c>
      <c r="C71" s="50" t="s">
        <v>121</v>
      </c>
      <c r="H71" s="9" t="s">
        <v>369</v>
      </c>
      <c r="I71" s="10">
        <v>95</v>
      </c>
      <c r="K71" s="8" t="s">
        <v>528</v>
      </c>
      <c r="L71" s="8" t="s">
        <v>529</v>
      </c>
    </row>
    <row r="72" spans="2:12" x14ac:dyDescent="0.2">
      <c r="B72" s="8" t="s">
        <v>726</v>
      </c>
      <c r="C72" s="50" t="s">
        <v>727</v>
      </c>
      <c r="H72" s="9" t="s">
        <v>348</v>
      </c>
      <c r="I72" s="10">
        <v>87</v>
      </c>
      <c r="K72" s="8" t="s">
        <v>316</v>
      </c>
      <c r="L72" s="8" t="s">
        <v>317</v>
      </c>
    </row>
    <row r="73" spans="2:12" x14ac:dyDescent="0.2">
      <c r="B73" s="8" t="s">
        <v>728</v>
      </c>
      <c r="C73" s="50" t="s">
        <v>729</v>
      </c>
      <c r="H73" s="9" t="s">
        <v>237</v>
      </c>
      <c r="I73" s="10">
        <v>47</v>
      </c>
      <c r="K73" s="8" t="s">
        <v>313</v>
      </c>
      <c r="L73" s="8" t="s">
        <v>314</v>
      </c>
    </row>
    <row r="74" spans="2:12" x14ac:dyDescent="0.2">
      <c r="B74" s="8" t="s">
        <v>730</v>
      </c>
      <c r="C74" s="50" t="s">
        <v>731</v>
      </c>
      <c r="H74" s="9" t="s">
        <v>309</v>
      </c>
      <c r="I74" s="10">
        <v>72</v>
      </c>
      <c r="K74" s="8" t="s">
        <v>307</v>
      </c>
      <c r="L74" s="8" t="s">
        <v>308</v>
      </c>
    </row>
    <row r="75" spans="2:12" x14ac:dyDescent="0.2">
      <c r="B75" s="8" t="s">
        <v>732</v>
      </c>
      <c r="C75" s="50" t="s">
        <v>733</v>
      </c>
      <c r="H75" s="9" t="s">
        <v>330</v>
      </c>
      <c r="I75" s="10">
        <v>80</v>
      </c>
      <c r="K75" s="8" t="s">
        <v>304</v>
      </c>
      <c r="L75" s="8" t="s">
        <v>305</v>
      </c>
    </row>
    <row r="76" spans="2:12" x14ac:dyDescent="0.2">
      <c r="B76" s="8" t="s">
        <v>734</v>
      </c>
      <c r="C76" s="50" t="s">
        <v>735</v>
      </c>
      <c r="H76" s="9" t="s">
        <v>333</v>
      </c>
      <c r="I76" s="10">
        <v>81</v>
      </c>
      <c r="K76" s="8" t="s">
        <v>325</v>
      </c>
      <c r="L76" s="8" t="s">
        <v>326</v>
      </c>
    </row>
    <row r="77" spans="2:12" x14ac:dyDescent="0.2">
      <c r="B77" s="8" t="s">
        <v>736</v>
      </c>
      <c r="C77" s="50" t="s">
        <v>126</v>
      </c>
      <c r="H77" s="9" t="s">
        <v>205</v>
      </c>
      <c r="I77" s="10">
        <v>37</v>
      </c>
      <c r="K77" s="8" t="s">
        <v>331</v>
      </c>
      <c r="L77" s="8" t="s">
        <v>332</v>
      </c>
    </row>
    <row r="78" spans="2:12" x14ac:dyDescent="0.2">
      <c r="B78" s="8" t="s">
        <v>737</v>
      </c>
      <c r="C78" s="50" t="s">
        <v>131</v>
      </c>
      <c r="H78" s="9" t="s">
        <v>351</v>
      </c>
      <c r="I78" s="10">
        <v>88</v>
      </c>
      <c r="K78" s="8" t="s">
        <v>322</v>
      </c>
      <c r="L78" s="8" t="s">
        <v>323</v>
      </c>
    </row>
    <row r="79" spans="2:12" x14ac:dyDescent="0.2">
      <c r="B79" s="8" t="s">
        <v>738</v>
      </c>
      <c r="C79" s="50" t="s">
        <v>739</v>
      </c>
      <c r="H79" s="9" t="s">
        <v>225</v>
      </c>
      <c r="I79" s="10">
        <v>43</v>
      </c>
      <c r="K79" s="8" t="s">
        <v>328</v>
      </c>
      <c r="L79" s="8" t="s">
        <v>329</v>
      </c>
    </row>
    <row r="80" spans="2:12" x14ac:dyDescent="0.2">
      <c r="B80" s="8" t="s">
        <v>740</v>
      </c>
      <c r="C80" s="50" t="s">
        <v>741</v>
      </c>
      <c r="H80" s="9" t="s">
        <v>363</v>
      </c>
      <c r="I80" s="10">
        <v>93</v>
      </c>
      <c r="K80" s="8" t="s">
        <v>358</v>
      </c>
      <c r="L80" s="8" t="s">
        <v>359</v>
      </c>
    </row>
    <row r="81" spans="2:12" x14ac:dyDescent="0.2">
      <c r="B81" s="8" t="s">
        <v>742</v>
      </c>
      <c r="C81" s="50" t="s">
        <v>743</v>
      </c>
      <c r="H81" s="9" t="s">
        <v>279</v>
      </c>
      <c r="I81" s="10">
        <v>61</v>
      </c>
      <c r="K81" s="8" t="s">
        <v>334</v>
      </c>
      <c r="L81" s="8" t="s">
        <v>335</v>
      </c>
    </row>
    <row r="82" spans="2:12" x14ac:dyDescent="0.2">
      <c r="B82" s="8" t="s">
        <v>744</v>
      </c>
      <c r="C82" s="50" t="s">
        <v>745</v>
      </c>
      <c r="H82" s="9" t="s">
        <v>327</v>
      </c>
      <c r="I82" s="10">
        <v>79</v>
      </c>
      <c r="K82" s="8" t="s">
        <v>346</v>
      </c>
      <c r="L82" s="8" t="s">
        <v>347</v>
      </c>
    </row>
    <row r="83" spans="2:12" x14ac:dyDescent="0.2">
      <c r="B83" s="8" t="s">
        <v>746</v>
      </c>
      <c r="C83" s="50" t="s">
        <v>747</v>
      </c>
      <c r="H83" s="9" t="s">
        <v>378</v>
      </c>
      <c r="I83" s="10">
        <v>98</v>
      </c>
      <c r="K83" s="8" t="s">
        <v>349</v>
      </c>
      <c r="L83" s="8" t="s">
        <v>350</v>
      </c>
    </row>
    <row r="84" spans="2:12" x14ac:dyDescent="0.2">
      <c r="B84" s="8" t="s">
        <v>748</v>
      </c>
      <c r="C84" s="50" t="s">
        <v>749</v>
      </c>
      <c r="H84" s="9" t="s">
        <v>318</v>
      </c>
      <c r="I84" s="10">
        <v>75</v>
      </c>
      <c r="K84" s="8" t="s">
        <v>352</v>
      </c>
      <c r="L84" s="8" t="s">
        <v>353</v>
      </c>
    </row>
    <row r="85" spans="2:12" x14ac:dyDescent="0.2">
      <c r="B85" s="8" t="s">
        <v>750</v>
      </c>
      <c r="C85" s="50" t="s">
        <v>136</v>
      </c>
      <c r="H85" s="9" t="s">
        <v>253</v>
      </c>
      <c r="I85" s="10">
        <v>52</v>
      </c>
      <c r="K85" s="8" t="s">
        <v>337</v>
      </c>
      <c r="L85" s="8" t="s">
        <v>338</v>
      </c>
    </row>
    <row r="86" spans="2:12" x14ac:dyDescent="0.2">
      <c r="B86" s="8" t="s">
        <v>751</v>
      </c>
      <c r="C86" s="50" t="s">
        <v>752</v>
      </c>
      <c r="H86" s="9" t="s">
        <v>209</v>
      </c>
      <c r="I86" s="10">
        <v>38</v>
      </c>
      <c r="K86" s="8" t="s">
        <v>361</v>
      </c>
      <c r="L86" s="8" t="s">
        <v>362</v>
      </c>
    </row>
    <row r="87" spans="2:12" x14ac:dyDescent="0.2">
      <c r="B87" s="8" t="s">
        <v>753</v>
      </c>
      <c r="C87" s="50" t="s">
        <v>141</v>
      </c>
      <c r="H87" s="9" t="s">
        <v>201</v>
      </c>
      <c r="I87" s="10">
        <v>36</v>
      </c>
      <c r="K87" s="8" t="s">
        <v>379</v>
      </c>
      <c r="L87" s="8" t="s">
        <v>380</v>
      </c>
    </row>
    <row r="88" spans="2:12" x14ac:dyDescent="0.2">
      <c r="B88" s="8" t="s">
        <v>754</v>
      </c>
      <c r="C88" s="50" t="s">
        <v>146</v>
      </c>
      <c r="H88" s="9" t="s">
        <v>245</v>
      </c>
      <c r="I88" s="10">
        <v>50</v>
      </c>
      <c r="K88" s="8" t="s">
        <v>364</v>
      </c>
      <c r="L88" s="8" t="s">
        <v>365</v>
      </c>
    </row>
    <row r="89" spans="2:12" x14ac:dyDescent="0.2">
      <c r="B89" s="8" t="s">
        <v>755</v>
      </c>
      <c r="C89" s="50" t="s">
        <v>756</v>
      </c>
      <c r="H89" s="9" t="s">
        <v>229</v>
      </c>
      <c r="I89" s="10">
        <v>45</v>
      </c>
      <c r="K89" s="8" t="s">
        <v>373</v>
      </c>
      <c r="L89" s="8" t="s">
        <v>374</v>
      </c>
    </row>
    <row r="90" spans="2:12" x14ac:dyDescent="0.2">
      <c r="B90" s="8" t="s">
        <v>757</v>
      </c>
      <c r="C90" s="50" t="s">
        <v>758</v>
      </c>
      <c r="H90" s="9" t="s">
        <v>233</v>
      </c>
      <c r="I90" s="10">
        <v>46</v>
      </c>
      <c r="K90" s="8" t="s">
        <v>370</v>
      </c>
      <c r="L90" s="8" t="s">
        <v>371</v>
      </c>
    </row>
    <row r="91" spans="2:12" x14ac:dyDescent="0.2">
      <c r="B91" s="8" t="s">
        <v>759</v>
      </c>
      <c r="C91" s="50" t="s">
        <v>760</v>
      </c>
      <c r="K91" s="8" t="s">
        <v>382</v>
      </c>
      <c r="L91" s="8" t="s">
        <v>383</v>
      </c>
    </row>
    <row r="92" spans="2:12" x14ac:dyDescent="0.2">
      <c r="B92" s="8" t="s">
        <v>761</v>
      </c>
      <c r="C92" s="50" t="s">
        <v>762</v>
      </c>
      <c r="K92" s="8" t="s">
        <v>376</v>
      </c>
      <c r="L92" s="8" t="s">
        <v>377</v>
      </c>
    </row>
    <row r="93" spans="2:12" x14ac:dyDescent="0.2">
      <c r="B93" s="8" t="s">
        <v>763</v>
      </c>
      <c r="C93" s="50" t="s">
        <v>764</v>
      </c>
      <c r="K93" s="8" t="s">
        <v>396</v>
      </c>
      <c r="L93" s="8" t="s">
        <v>397</v>
      </c>
    </row>
    <row r="94" spans="2:12" x14ac:dyDescent="0.2">
      <c r="B94" s="8" t="s">
        <v>765</v>
      </c>
      <c r="C94" s="50" t="s">
        <v>766</v>
      </c>
      <c r="K94" s="8" t="s">
        <v>390</v>
      </c>
      <c r="L94" s="8" t="s">
        <v>391</v>
      </c>
    </row>
    <row r="95" spans="2:12" x14ac:dyDescent="0.2">
      <c r="B95" s="8" t="s">
        <v>767</v>
      </c>
      <c r="C95" s="50" t="s">
        <v>768</v>
      </c>
      <c r="K95" s="8" t="s">
        <v>388</v>
      </c>
      <c r="L95" s="8" t="s">
        <v>389</v>
      </c>
    </row>
    <row r="96" spans="2:12" x14ac:dyDescent="0.2">
      <c r="B96" s="8" t="s">
        <v>769</v>
      </c>
      <c r="C96" s="50" t="s">
        <v>770</v>
      </c>
      <c r="K96" s="8" t="s">
        <v>404</v>
      </c>
      <c r="L96" s="8" t="s">
        <v>405</v>
      </c>
    </row>
    <row r="97" spans="2:12" x14ac:dyDescent="0.2">
      <c r="B97" s="8" t="s">
        <v>771</v>
      </c>
      <c r="C97" s="50" t="s">
        <v>772</v>
      </c>
      <c r="K97" s="8" t="s">
        <v>408</v>
      </c>
      <c r="L97" s="8" t="s">
        <v>409</v>
      </c>
    </row>
    <row r="98" spans="2:12" x14ac:dyDescent="0.2">
      <c r="B98" s="8" t="s">
        <v>773</v>
      </c>
      <c r="C98" s="50" t="s">
        <v>774</v>
      </c>
      <c r="K98" s="8" t="s">
        <v>402</v>
      </c>
      <c r="L98" s="8" t="s">
        <v>403</v>
      </c>
    </row>
    <row r="99" spans="2:12" x14ac:dyDescent="0.2">
      <c r="B99" s="8" t="s">
        <v>775</v>
      </c>
      <c r="C99" s="50" t="s">
        <v>776</v>
      </c>
      <c r="K99" s="8" t="s">
        <v>398</v>
      </c>
      <c r="L99" s="8" t="s">
        <v>399</v>
      </c>
    </row>
    <row r="100" spans="2:12" x14ac:dyDescent="0.2">
      <c r="B100" s="8" t="s">
        <v>777</v>
      </c>
      <c r="C100" s="50" t="s">
        <v>778</v>
      </c>
      <c r="K100" s="8" t="s">
        <v>400</v>
      </c>
      <c r="L100" s="8" t="s">
        <v>401</v>
      </c>
    </row>
    <row r="101" spans="2:12" x14ac:dyDescent="0.2">
      <c r="B101" s="8" t="s">
        <v>779</v>
      </c>
      <c r="C101" s="50" t="s">
        <v>780</v>
      </c>
      <c r="K101" s="8" t="s">
        <v>406</v>
      </c>
      <c r="L101" s="8" t="s">
        <v>407</v>
      </c>
    </row>
    <row r="102" spans="2:12" x14ac:dyDescent="0.2">
      <c r="B102" s="8" t="s">
        <v>781</v>
      </c>
      <c r="C102" s="50" t="s">
        <v>782</v>
      </c>
      <c r="K102" s="8" t="s">
        <v>386</v>
      </c>
      <c r="L102" s="8" t="s">
        <v>387</v>
      </c>
    </row>
    <row r="103" spans="2:12" x14ac:dyDescent="0.2">
      <c r="B103" s="8" t="s">
        <v>783</v>
      </c>
      <c r="C103" s="50" t="s">
        <v>151</v>
      </c>
      <c r="K103" s="8" t="s">
        <v>394</v>
      </c>
      <c r="L103" s="8" t="s">
        <v>395</v>
      </c>
    </row>
    <row r="104" spans="2:12" x14ac:dyDescent="0.2">
      <c r="B104" s="8" t="s">
        <v>784</v>
      </c>
      <c r="C104" s="50" t="s">
        <v>155</v>
      </c>
      <c r="K104" s="8" t="s">
        <v>384</v>
      </c>
      <c r="L104" s="8" t="s">
        <v>385</v>
      </c>
    </row>
    <row r="105" spans="2:12" x14ac:dyDescent="0.2">
      <c r="B105" s="8" t="s">
        <v>785</v>
      </c>
      <c r="C105" s="50" t="s">
        <v>786</v>
      </c>
      <c r="K105" s="8" t="s">
        <v>410</v>
      </c>
      <c r="L105" s="8" t="s">
        <v>411</v>
      </c>
    </row>
    <row r="106" spans="2:12" x14ac:dyDescent="0.2">
      <c r="B106" s="8" t="s">
        <v>787</v>
      </c>
      <c r="C106" s="50" t="s">
        <v>788</v>
      </c>
      <c r="K106" s="8" t="s">
        <v>392</v>
      </c>
      <c r="L106" s="8" t="s">
        <v>393</v>
      </c>
    </row>
    <row r="107" spans="2:12" x14ac:dyDescent="0.2">
      <c r="B107" s="8" t="s">
        <v>789</v>
      </c>
      <c r="C107" s="50" t="s">
        <v>790</v>
      </c>
      <c r="K107" s="8" t="s">
        <v>412</v>
      </c>
      <c r="L107" s="8" t="s">
        <v>413</v>
      </c>
    </row>
    <row r="108" spans="2:12" x14ac:dyDescent="0.2">
      <c r="B108" s="8" t="s">
        <v>791</v>
      </c>
      <c r="C108" s="50" t="s">
        <v>792</v>
      </c>
      <c r="K108" s="8" t="s">
        <v>420</v>
      </c>
      <c r="L108" s="8" t="s">
        <v>421</v>
      </c>
    </row>
    <row r="109" spans="2:12" x14ac:dyDescent="0.2">
      <c r="B109" s="8" t="s">
        <v>793</v>
      </c>
      <c r="C109" s="50" t="s">
        <v>160</v>
      </c>
      <c r="K109" s="8" t="s">
        <v>61</v>
      </c>
      <c r="L109" s="8" t="s">
        <v>62</v>
      </c>
    </row>
    <row r="110" spans="2:12" x14ac:dyDescent="0.2">
      <c r="B110" s="8" t="s">
        <v>794</v>
      </c>
      <c r="C110" s="50" t="s">
        <v>795</v>
      </c>
      <c r="K110" s="8" t="s">
        <v>422</v>
      </c>
      <c r="L110" s="8" t="s">
        <v>423</v>
      </c>
    </row>
    <row r="111" spans="2:12" x14ac:dyDescent="0.2">
      <c r="B111" s="8" t="s">
        <v>796</v>
      </c>
      <c r="C111" s="50" t="s">
        <v>797</v>
      </c>
      <c r="K111" s="8" t="s">
        <v>416</v>
      </c>
      <c r="L111" s="8" t="s">
        <v>417</v>
      </c>
    </row>
    <row r="112" spans="2:12" x14ac:dyDescent="0.2">
      <c r="B112" s="8" t="s">
        <v>798</v>
      </c>
      <c r="C112" s="50" t="s">
        <v>165</v>
      </c>
      <c r="K112" s="8" t="s">
        <v>414</v>
      </c>
      <c r="L112" s="8" t="s">
        <v>415</v>
      </c>
    </row>
    <row r="113" spans="2:12" x14ac:dyDescent="0.2">
      <c r="B113" s="8" t="s">
        <v>799</v>
      </c>
      <c r="C113" s="50" t="s">
        <v>800</v>
      </c>
      <c r="K113" s="8" t="s">
        <v>418</v>
      </c>
      <c r="L113" s="8" t="s">
        <v>419</v>
      </c>
    </row>
    <row r="114" spans="2:12" x14ac:dyDescent="0.2">
      <c r="B114" s="8" t="s">
        <v>801</v>
      </c>
      <c r="C114" s="50" t="s">
        <v>802</v>
      </c>
      <c r="K114" s="8" t="s">
        <v>424</v>
      </c>
      <c r="L114" s="8" t="s">
        <v>425</v>
      </c>
    </row>
    <row r="115" spans="2:12" x14ac:dyDescent="0.2">
      <c r="B115" s="8" t="s">
        <v>803</v>
      </c>
      <c r="C115" s="50" t="s">
        <v>804</v>
      </c>
      <c r="K115" s="8" t="s">
        <v>434</v>
      </c>
      <c r="L115" s="8" t="s">
        <v>435</v>
      </c>
    </row>
    <row r="116" spans="2:12" x14ac:dyDescent="0.2">
      <c r="B116" s="8" t="s">
        <v>805</v>
      </c>
      <c r="C116" s="50" t="s">
        <v>806</v>
      </c>
      <c r="K116" s="8" t="s">
        <v>532</v>
      </c>
      <c r="L116" s="8" t="s">
        <v>533</v>
      </c>
    </row>
    <row r="117" spans="2:12" x14ac:dyDescent="0.2">
      <c r="B117" s="8" t="s">
        <v>807</v>
      </c>
      <c r="C117" s="50" t="s">
        <v>808</v>
      </c>
      <c r="K117" s="8" t="s">
        <v>426</v>
      </c>
      <c r="L117" s="8" t="s">
        <v>427</v>
      </c>
    </row>
    <row r="118" spans="2:12" x14ac:dyDescent="0.2">
      <c r="B118" s="8" t="s">
        <v>809</v>
      </c>
      <c r="C118" s="50" t="s">
        <v>810</v>
      </c>
      <c r="K118" s="8" t="s">
        <v>430</v>
      </c>
      <c r="L118" s="8" t="s">
        <v>431</v>
      </c>
    </row>
    <row r="119" spans="2:12" x14ac:dyDescent="0.2">
      <c r="B119" s="8" t="s">
        <v>811</v>
      </c>
      <c r="C119" s="50" t="s">
        <v>812</v>
      </c>
      <c r="K119" s="8" t="s">
        <v>438</v>
      </c>
      <c r="L119" s="8" t="s">
        <v>439</v>
      </c>
    </row>
    <row r="120" spans="2:12" x14ac:dyDescent="0.2">
      <c r="B120" s="8" t="s">
        <v>813</v>
      </c>
      <c r="C120" s="50" t="s">
        <v>814</v>
      </c>
      <c r="K120" s="8" t="s">
        <v>428</v>
      </c>
      <c r="L120" s="8" t="s">
        <v>429</v>
      </c>
    </row>
    <row r="121" spans="2:12" x14ac:dyDescent="0.2">
      <c r="B121" s="8" t="s">
        <v>815</v>
      </c>
      <c r="C121" s="50" t="s">
        <v>816</v>
      </c>
      <c r="K121" s="8" t="s">
        <v>432</v>
      </c>
      <c r="L121" s="8" t="s">
        <v>433</v>
      </c>
    </row>
    <row r="122" spans="2:12" x14ac:dyDescent="0.2">
      <c r="B122" s="8" t="s">
        <v>817</v>
      </c>
      <c r="C122" s="50" t="s">
        <v>818</v>
      </c>
      <c r="K122" s="8" t="s">
        <v>536</v>
      </c>
      <c r="L122" s="8" t="s">
        <v>537</v>
      </c>
    </row>
    <row r="123" spans="2:12" x14ac:dyDescent="0.2">
      <c r="B123" s="8" t="s">
        <v>819</v>
      </c>
      <c r="C123" s="50" t="s">
        <v>820</v>
      </c>
      <c r="K123" s="8" t="s">
        <v>436</v>
      </c>
      <c r="L123" s="8" t="s">
        <v>437</v>
      </c>
    </row>
    <row r="124" spans="2:12" x14ac:dyDescent="0.2">
      <c r="B124" s="8" t="s">
        <v>821</v>
      </c>
      <c r="C124" s="50" t="s">
        <v>822</v>
      </c>
      <c r="K124" s="8" t="s">
        <v>440</v>
      </c>
      <c r="L124" s="8" t="s">
        <v>441</v>
      </c>
    </row>
    <row r="125" spans="2:12" x14ac:dyDescent="0.2">
      <c r="B125" s="8" t="s">
        <v>823</v>
      </c>
      <c r="C125" s="50" t="s">
        <v>174</v>
      </c>
      <c r="K125" s="8" t="s">
        <v>442</v>
      </c>
      <c r="L125" s="8" t="s">
        <v>443</v>
      </c>
    </row>
    <row r="126" spans="2:12" x14ac:dyDescent="0.2">
      <c r="B126" s="8" t="s">
        <v>824</v>
      </c>
      <c r="C126" s="50" t="s">
        <v>825</v>
      </c>
      <c r="K126" s="8" t="s">
        <v>446</v>
      </c>
      <c r="L126" s="8" t="s">
        <v>447</v>
      </c>
    </row>
    <row r="127" spans="2:12" x14ac:dyDescent="0.2">
      <c r="B127" s="8" t="s">
        <v>826</v>
      </c>
      <c r="C127" s="50" t="s">
        <v>827</v>
      </c>
      <c r="K127" s="8" t="s">
        <v>448</v>
      </c>
      <c r="L127" s="8" t="s">
        <v>449</v>
      </c>
    </row>
    <row r="128" spans="2:12" x14ac:dyDescent="0.2">
      <c r="B128" s="8" t="s">
        <v>828</v>
      </c>
      <c r="C128" s="50" t="s">
        <v>829</v>
      </c>
      <c r="K128" s="8" t="s">
        <v>462</v>
      </c>
      <c r="L128" s="8" t="s">
        <v>463</v>
      </c>
    </row>
    <row r="129" spans="2:12" x14ac:dyDescent="0.2">
      <c r="B129" s="8" t="s">
        <v>830</v>
      </c>
      <c r="C129" s="50" t="s">
        <v>831</v>
      </c>
      <c r="K129" s="8" t="s">
        <v>518</v>
      </c>
      <c r="L129" s="8" t="s">
        <v>519</v>
      </c>
    </row>
    <row r="130" spans="2:12" x14ac:dyDescent="0.2">
      <c r="B130" s="8" t="s">
        <v>832</v>
      </c>
      <c r="C130" s="50" t="s">
        <v>179</v>
      </c>
      <c r="K130" s="8" t="s">
        <v>474</v>
      </c>
      <c r="L130" s="8" t="s">
        <v>475</v>
      </c>
    </row>
    <row r="131" spans="2:12" x14ac:dyDescent="0.2">
      <c r="B131" s="8" t="s">
        <v>833</v>
      </c>
      <c r="C131" s="50" t="s">
        <v>184</v>
      </c>
      <c r="K131" s="8" t="s">
        <v>450</v>
      </c>
      <c r="L131" s="8" t="s">
        <v>451</v>
      </c>
    </row>
    <row r="132" spans="2:12" x14ac:dyDescent="0.2">
      <c r="B132" s="8" t="s">
        <v>834</v>
      </c>
      <c r="C132" s="50" t="s">
        <v>188</v>
      </c>
      <c r="K132" s="8" t="s">
        <v>470</v>
      </c>
      <c r="L132" s="8" t="s">
        <v>471</v>
      </c>
    </row>
    <row r="133" spans="2:12" x14ac:dyDescent="0.2">
      <c r="B133" s="8" t="s">
        <v>835</v>
      </c>
      <c r="C133" s="50" t="s">
        <v>836</v>
      </c>
      <c r="K133" s="8" t="s">
        <v>444</v>
      </c>
      <c r="L133" s="8" t="s">
        <v>445</v>
      </c>
    </row>
    <row r="134" spans="2:12" x14ac:dyDescent="0.2">
      <c r="B134" s="8" t="s">
        <v>837</v>
      </c>
      <c r="C134" s="50" t="s">
        <v>192</v>
      </c>
      <c r="K134" s="8" t="s">
        <v>454</v>
      </c>
      <c r="L134" s="8" t="s">
        <v>455</v>
      </c>
    </row>
    <row r="135" spans="2:12" x14ac:dyDescent="0.2">
      <c r="B135" s="8" t="s">
        <v>838</v>
      </c>
      <c r="C135" s="50" t="s">
        <v>839</v>
      </c>
      <c r="K135" s="8" t="s">
        <v>466</v>
      </c>
      <c r="L135" s="8" t="s">
        <v>467</v>
      </c>
    </row>
    <row r="136" spans="2:12" x14ac:dyDescent="0.2">
      <c r="B136" s="8" t="s">
        <v>840</v>
      </c>
      <c r="C136" s="50" t="s">
        <v>841</v>
      </c>
      <c r="K136" s="8" t="s">
        <v>522</v>
      </c>
      <c r="L136" s="8" t="s">
        <v>523</v>
      </c>
    </row>
    <row r="137" spans="2:12" x14ac:dyDescent="0.2">
      <c r="B137" s="8" t="s">
        <v>842</v>
      </c>
      <c r="C137" s="50" t="s">
        <v>843</v>
      </c>
      <c r="K137" s="8" t="s">
        <v>460</v>
      </c>
      <c r="L137" s="8" t="s">
        <v>461</v>
      </c>
    </row>
    <row r="138" spans="2:12" x14ac:dyDescent="0.2">
      <c r="B138" s="8" t="s">
        <v>844</v>
      </c>
      <c r="C138" s="50" t="s">
        <v>845</v>
      </c>
      <c r="K138" s="8" t="s">
        <v>464</v>
      </c>
      <c r="L138" s="8" t="s">
        <v>465</v>
      </c>
    </row>
    <row r="139" spans="2:12" x14ac:dyDescent="0.2">
      <c r="B139" s="8" t="s">
        <v>846</v>
      </c>
      <c r="C139" s="50" t="s">
        <v>847</v>
      </c>
      <c r="K139" s="8" t="s">
        <v>452</v>
      </c>
      <c r="L139" s="8" t="s">
        <v>453</v>
      </c>
    </row>
    <row r="140" spans="2:12" x14ac:dyDescent="0.2">
      <c r="B140" s="8" t="s">
        <v>848</v>
      </c>
      <c r="C140" s="50" t="s">
        <v>196</v>
      </c>
      <c r="K140" s="8" t="s">
        <v>468</v>
      </c>
      <c r="L140" s="8" t="s">
        <v>469</v>
      </c>
    </row>
    <row r="141" spans="2:12" x14ac:dyDescent="0.2">
      <c r="B141" s="8" t="s">
        <v>849</v>
      </c>
      <c r="C141" s="50" t="s">
        <v>850</v>
      </c>
      <c r="K141" s="8" t="s">
        <v>540</v>
      </c>
      <c r="L141" s="8" t="s">
        <v>541</v>
      </c>
    </row>
    <row r="142" spans="2:12" x14ac:dyDescent="0.2">
      <c r="B142" s="8" t="s">
        <v>851</v>
      </c>
      <c r="C142" s="50" t="s">
        <v>852</v>
      </c>
      <c r="K142" s="8" t="s">
        <v>367</v>
      </c>
      <c r="L142" s="8" t="s">
        <v>368</v>
      </c>
    </row>
    <row r="143" spans="2:12" x14ac:dyDescent="0.2">
      <c r="B143" s="8" t="s">
        <v>853</v>
      </c>
      <c r="C143" s="50" t="s">
        <v>854</v>
      </c>
      <c r="K143" s="8" t="s">
        <v>456</v>
      </c>
      <c r="L143" s="8" t="s">
        <v>457</v>
      </c>
    </row>
    <row r="144" spans="2:12" x14ac:dyDescent="0.2">
      <c r="B144" s="8" t="s">
        <v>855</v>
      </c>
      <c r="C144" s="50" t="s">
        <v>856</v>
      </c>
      <c r="K144" s="8" t="s">
        <v>472</v>
      </c>
      <c r="L144" s="8" t="s">
        <v>473</v>
      </c>
    </row>
    <row r="145" spans="2:12" x14ac:dyDescent="0.2">
      <c r="B145" s="8" t="s">
        <v>857</v>
      </c>
      <c r="C145" s="50" t="s">
        <v>858</v>
      </c>
      <c r="K145" s="8" t="s">
        <v>480</v>
      </c>
      <c r="L145" s="8" t="s">
        <v>481</v>
      </c>
    </row>
    <row r="146" spans="2:12" x14ac:dyDescent="0.2">
      <c r="B146" s="8" t="s">
        <v>859</v>
      </c>
      <c r="C146" s="50" t="s">
        <v>860</v>
      </c>
      <c r="K146" s="8" t="s">
        <v>458</v>
      </c>
      <c r="L146" s="8" t="s">
        <v>459</v>
      </c>
    </row>
    <row r="147" spans="2:12" x14ac:dyDescent="0.2">
      <c r="B147" s="8" t="s">
        <v>861</v>
      </c>
      <c r="C147" s="50" t="s">
        <v>862</v>
      </c>
      <c r="K147" s="8" t="s">
        <v>177</v>
      </c>
      <c r="L147" s="8" t="s">
        <v>178</v>
      </c>
    </row>
    <row r="148" spans="2:12" x14ac:dyDescent="0.2">
      <c r="B148" s="8" t="s">
        <v>863</v>
      </c>
      <c r="C148" s="50" t="s">
        <v>200</v>
      </c>
      <c r="K148" s="8" t="s">
        <v>478</v>
      </c>
      <c r="L148" s="8" t="s">
        <v>479</v>
      </c>
    </row>
    <row r="149" spans="2:12" x14ac:dyDescent="0.2">
      <c r="B149" s="8" t="s">
        <v>864</v>
      </c>
      <c r="C149" s="50" t="s">
        <v>204</v>
      </c>
      <c r="K149" s="8" t="s">
        <v>498</v>
      </c>
      <c r="L149" s="8" t="s">
        <v>499</v>
      </c>
    </row>
    <row r="150" spans="2:12" x14ac:dyDescent="0.2">
      <c r="B150" s="8" t="s">
        <v>865</v>
      </c>
      <c r="C150" s="50" t="s">
        <v>866</v>
      </c>
      <c r="K150" s="8" t="s">
        <v>484</v>
      </c>
      <c r="L150" s="8" t="s">
        <v>485</v>
      </c>
    </row>
    <row r="151" spans="2:12" x14ac:dyDescent="0.2">
      <c r="B151" s="8" t="s">
        <v>867</v>
      </c>
      <c r="C151" s="50" t="s">
        <v>208</v>
      </c>
      <c r="K151" s="8" t="s">
        <v>500</v>
      </c>
      <c r="L151" s="8" t="s">
        <v>501</v>
      </c>
    </row>
    <row r="152" spans="2:12" x14ac:dyDescent="0.2">
      <c r="B152" s="8" t="s">
        <v>868</v>
      </c>
      <c r="C152" s="50" t="s">
        <v>869</v>
      </c>
      <c r="K152" s="8" t="s">
        <v>482</v>
      </c>
      <c r="L152" s="8" t="s">
        <v>483</v>
      </c>
    </row>
    <row r="153" spans="2:12" x14ac:dyDescent="0.2">
      <c r="B153" s="8" t="s">
        <v>870</v>
      </c>
      <c r="C153" s="50" t="s">
        <v>871</v>
      </c>
      <c r="K153" s="8" t="s">
        <v>490</v>
      </c>
      <c r="L153" s="8" t="s">
        <v>491</v>
      </c>
    </row>
    <row r="154" spans="2:12" x14ac:dyDescent="0.2">
      <c r="B154" s="8" t="s">
        <v>872</v>
      </c>
      <c r="C154" s="50" t="s">
        <v>873</v>
      </c>
      <c r="K154" s="8" t="s">
        <v>494</v>
      </c>
      <c r="L154" s="8" t="s">
        <v>495</v>
      </c>
    </row>
    <row r="155" spans="2:12" x14ac:dyDescent="0.2">
      <c r="B155" s="8" t="s">
        <v>874</v>
      </c>
      <c r="C155" s="50" t="s">
        <v>875</v>
      </c>
      <c r="K155" s="8" t="s">
        <v>488</v>
      </c>
      <c r="L155" s="8" t="s">
        <v>489</v>
      </c>
    </row>
    <row r="156" spans="2:12" x14ac:dyDescent="0.2">
      <c r="B156" s="8" t="s">
        <v>876</v>
      </c>
      <c r="C156" s="50" t="s">
        <v>877</v>
      </c>
      <c r="K156" s="8" t="s">
        <v>492</v>
      </c>
      <c r="L156" s="8" t="s">
        <v>493</v>
      </c>
    </row>
    <row r="157" spans="2:12" x14ac:dyDescent="0.2">
      <c r="B157" s="8" t="s">
        <v>878</v>
      </c>
      <c r="C157" s="50" t="s">
        <v>879</v>
      </c>
      <c r="K157" s="8" t="s">
        <v>486</v>
      </c>
      <c r="L157" s="8" t="s">
        <v>487</v>
      </c>
    </row>
    <row r="158" spans="2:12" x14ac:dyDescent="0.2">
      <c r="B158" s="8" t="s">
        <v>880</v>
      </c>
      <c r="C158" s="50" t="s">
        <v>881</v>
      </c>
      <c r="K158" s="8" t="s">
        <v>496</v>
      </c>
      <c r="L158" s="8" t="s">
        <v>497</v>
      </c>
    </row>
    <row r="159" spans="2:12" x14ac:dyDescent="0.2">
      <c r="B159" s="8" t="s">
        <v>882</v>
      </c>
      <c r="C159" s="50" t="s">
        <v>212</v>
      </c>
      <c r="K159" s="8" t="s">
        <v>504</v>
      </c>
      <c r="L159" s="8" t="s">
        <v>505</v>
      </c>
    </row>
    <row r="160" spans="2:12" x14ac:dyDescent="0.2">
      <c r="B160" s="8" t="s">
        <v>883</v>
      </c>
      <c r="C160" s="50" t="s">
        <v>884</v>
      </c>
      <c r="K160" s="8" t="s">
        <v>502</v>
      </c>
      <c r="L160" s="8" t="s">
        <v>503</v>
      </c>
    </row>
    <row r="161" spans="2:12" x14ac:dyDescent="0.2">
      <c r="B161" s="8" t="s">
        <v>885</v>
      </c>
      <c r="C161" s="50" t="s">
        <v>886</v>
      </c>
      <c r="K161" s="8" t="s">
        <v>43</v>
      </c>
      <c r="L161" s="8" t="s">
        <v>44</v>
      </c>
    </row>
    <row r="162" spans="2:12" x14ac:dyDescent="0.2">
      <c r="B162" s="8" t="s">
        <v>887</v>
      </c>
      <c r="C162" s="50" t="s">
        <v>888</v>
      </c>
      <c r="K162" s="8" t="s">
        <v>254</v>
      </c>
      <c r="L162" s="8" t="s">
        <v>255</v>
      </c>
    </row>
    <row r="163" spans="2:12" x14ac:dyDescent="0.2">
      <c r="B163" s="8" t="s">
        <v>889</v>
      </c>
      <c r="C163" s="50" t="s">
        <v>890</v>
      </c>
      <c r="K163" s="8" t="s">
        <v>506</v>
      </c>
      <c r="L163" s="8" t="s">
        <v>507</v>
      </c>
    </row>
    <row r="164" spans="2:12" x14ac:dyDescent="0.2">
      <c r="B164" s="8" t="s">
        <v>891</v>
      </c>
      <c r="C164" s="50" t="s">
        <v>892</v>
      </c>
      <c r="K164" s="8" t="s">
        <v>508</v>
      </c>
      <c r="L164" s="8" t="s">
        <v>509</v>
      </c>
    </row>
    <row r="165" spans="2:12" x14ac:dyDescent="0.2">
      <c r="B165" s="8" t="s">
        <v>893</v>
      </c>
      <c r="C165" s="50" t="s">
        <v>894</v>
      </c>
      <c r="K165" s="8" t="s">
        <v>510</v>
      </c>
      <c r="L165" s="8" t="s">
        <v>511</v>
      </c>
    </row>
    <row r="166" spans="2:12" x14ac:dyDescent="0.2">
      <c r="B166" s="8" t="s">
        <v>895</v>
      </c>
      <c r="C166" s="50" t="s">
        <v>896</v>
      </c>
      <c r="K166" s="8" t="s">
        <v>516</v>
      </c>
      <c r="L166" s="8" t="s">
        <v>517</v>
      </c>
    </row>
    <row r="167" spans="2:12" x14ac:dyDescent="0.2">
      <c r="B167" s="8" t="s">
        <v>897</v>
      </c>
      <c r="C167" s="50" t="s">
        <v>898</v>
      </c>
      <c r="K167" s="8" t="s">
        <v>512</v>
      </c>
      <c r="L167" s="8" t="s">
        <v>513</v>
      </c>
    </row>
    <row r="168" spans="2:12" x14ac:dyDescent="0.2">
      <c r="B168" s="8" t="s">
        <v>899</v>
      </c>
      <c r="C168" s="50" t="s">
        <v>216</v>
      </c>
      <c r="K168" s="8" t="s">
        <v>514</v>
      </c>
      <c r="L168" s="8" t="s">
        <v>515</v>
      </c>
    </row>
    <row r="169" spans="2:12" x14ac:dyDescent="0.2">
      <c r="B169" s="8" t="s">
        <v>900</v>
      </c>
      <c r="C169" s="50" t="s">
        <v>901</v>
      </c>
      <c r="K169" s="8" t="s">
        <v>538</v>
      </c>
      <c r="L169" s="8" t="s">
        <v>539</v>
      </c>
    </row>
    <row r="170" spans="2:12" x14ac:dyDescent="0.2">
      <c r="B170" s="8" t="s">
        <v>902</v>
      </c>
      <c r="C170" s="50" t="s">
        <v>903</v>
      </c>
      <c r="K170" s="8" t="s">
        <v>542</v>
      </c>
      <c r="L170" s="8" t="s">
        <v>543</v>
      </c>
    </row>
    <row r="171" spans="2:12" x14ac:dyDescent="0.2">
      <c r="B171" s="8" t="s">
        <v>904</v>
      </c>
      <c r="C171" s="50" t="s">
        <v>905</v>
      </c>
      <c r="K171" s="8" t="s">
        <v>544</v>
      </c>
      <c r="L171" s="8" t="s">
        <v>545</v>
      </c>
    </row>
    <row r="172" spans="2:12" x14ac:dyDescent="0.2">
      <c r="B172" s="8" t="s">
        <v>906</v>
      </c>
      <c r="C172" s="50" t="s">
        <v>907</v>
      </c>
    </row>
    <row r="173" spans="2:12" x14ac:dyDescent="0.2">
      <c r="B173" s="8" t="s">
        <v>908</v>
      </c>
      <c r="C173" s="50" t="s">
        <v>909</v>
      </c>
    </row>
    <row r="174" spans="2:12" x14ac:dyDescent="0.2">
      <c r="B174" s="8" t="s">
        <v>910</v>
      </c>
      <c r="C174" s="50" t="s">
        <v>911</v>
      </c>
    </row>
    <row r="175" spans="2:12" x14ac:dyDescent="0.2">
      <c r="B175" s="8" t="s">
        <v>912</v>
      </c>
      <c r="C175" s="50" t="s">
        <v>913</v>
      </c>
    </row>
    <row r="176" spans="2:12" x14ac:dyDescent="0.2">
      <c r="B176" s="8" t="s">
        <v>914</v>
      </c>
      <c r="C176" s="50" t="s">
        <v>915</v>
      </c>
    </row>
    <row r="177" spans="2:3" x14ac:dyDescent="0.2">
      <c r="B177" s="8" t="s">
        <v>916</v>
      </c>
      <c r="C177" s="50" t="s">
        <v>917</v>
      </c>
    </row>
    <row r="178" spans="2:3" x14ac:dyDescent="0.2">
      <c r="B178" s="8" t="s">
        <v>918</v>
      </c>
      <c r="C178" s="50" t="s">
        <v>919</v>
      </c>
    </row>
    <row r="179" spans="2:3" x14ac:dyDescent="0.2">
      <c r="B179" s="8" t="s">
        <v>920</v>
      </c>
      <c r="C179" s="50" t="s">
        <v>220</v>
      </c>
    </row>
    <row r="180" spans="2:3" x14ac:dyDescent="0.2">
      <c r="B180" s="8" t="s">
        <v>921</v>
      </c>
      <c r="C180" s="50" t="s">
        <v>224</v>
      </c>
    </row>
    <row r="181" spans="2:3" x14ac:dyDescent="0.2">
      <c r="B181" s="8" t="s">
        <v>922</v>
      </c>
      <c r="C181" s="50" t="s">
        <v>923</v>
      </c>
    </row>
    <row r="182" spans="2:3" x14ac:dyDescent="0.2">
      <c r="B182" s="8" t="s">
        <v>924</v>
      </c>
      <c r="C182" s="50" t="s">
        <v>925</v>
      </c>
    </row>
    <row r="183" spans="2:3" x14ac:dyDescent="0.2">
      <c r="B183" s="8" t="s">
        <v>926</v>
      </c>
      <c r="C183" s="50" t="s">
        <v>927</v>
      </c>
    </row>
    <row r="184" spans="2:3" x14ac:dyDescent="0.2">
      <c r="B184" s="8" t="s">
        <v>928</v>
      </c>
      <c r="C184" s="50" t="s">
        <v>228</v>
      </c>
    </row>
    <row r="185" spans="2:3" x14ac:dyDescent="0.2">
      <c r="B185" s="8" t="s">
        <v>929</v>
      </c>
      <c r="C185" s="50" t="s">
        <v>232</v>
      </c>
    </row>
    <row r="186" spans="2:3" x14ac:dyDescent="0.2">
      <c r="B186" s="8" t="s">
        <v>930</v>
      </c>
      <c r="C186" s="50" t="s">
        <v>931</v>
      </c>
    </row>
    <row r="187" spans="2:3" x14ac:dyDescent="0.2">
      <c r="B187" s="8" t="s">
        <v>932</v>
      </c>
      <c r="C187" s="50" t="s">
        <v>933</v>
      </c>
    </row>
    <row r="188" spans="2:3" x14ac:dyDescent="0.2">
      <c r="B188" s="8" t="s">
        <v>934</v>
      </c>
      <c r="C188" s="50" t="s">
        <v>935</v>
      </c>
    </row>
    <row r="189" spans="2:3" x14ac:dyDescent="0.2">
      <c r="B189" s="8" t="s">
        <v>936</v>
      </c>
      <c r="C189" s="50" t="s">
        <v>937</v>
      </c>
    </row>
    <row r="190" spans="2:3" x14ac:dyDescent="0.2">
      <c r="B190" s="8" t="s">
        <v>938</v>
      </c>
      <c r="C190" s="50" t="s">
        <v>939</v>
      </c>
    </row>
    <row r="191" spans="2:3" x14ac:dyDescent="0.2">
      <c r="B191" s="8" t="s">
        <v>940</v>
      </c>
      <c r="C191" s="50" t="s">
        <v>941</v>
      </c>
    </row>
    <row r="192" spans="2:3" x14ac:dyDescent="0.2">
      <c r="B192" s="8" t="s">
        <v>942</v>
      </c>
      <c r="C192" s="50" t="s">
        <v>943</v>
      </c>
    </row>
    <row r="193" spans="2:3" x14ac:dyDescent="0.2">
      <c r="B193" s="8" t="s">
        <v>944</v>
      </c>
      <c r="C193" s="50" t="s">
        <v>945</v>
      </c>
    </row>
    <row r="194" spans="2:3" x14ac:dyDescent="0.2">
      <c r="B194" s="8" t="s">
        <v>946</v>
      </c>
      <c r="C194" s="50" t="s">
        <v>236</v>
      </c>
    </row>
    <row r="195" spans="2:3" x14ac:dyDescent="0.2">
      <c r="B195" s="8" t="s">
        <v>947</v>
      </c>
      <c r="C195" s="50" t="s">
        <v>948</v>
      </c>
    </row>
    <row r="196" spans="2:3" x14ac:dyDescent="0.2">
      <c r="B196" s="8" t="s">
        <v>949</v>
      </c>
      <c r="C196" s="50" t="s">
        <v>950</v>
      </c>
    </row>
    <row r="197" spans="2:3" x14ac:dyDescent="0.2">
      <c r="B197" s="8" t="s">
        <v>951</v>
      </c>
      <c r="C197" s="50" t="s">
        <v>952</v>
      </c>
    </row>
    <row r="198" spans="2:3" x14ac:dyDescent="0.2">
      <c r="B198" s="8" t="s">
        <v>953</v>
      </c>
      <c r="C198" s="50" t="s">
        <v>240</v>
      </c>
    </row>
    <row r="199" spans="2:3" x14ac:dyDescent="0.2">
      <c r="B199" s="8" t="s">
        <v>954</v>
      </c>
      <c r="C199" s="50" t="s">
        <v>955</v>
      </c>
    </row>
    <row r="200" spans="2:3" x14ac:dyDescent="0.2">
      <c r="B200" s="8" t="s">
        <v>956</v>
      </c>
      <c r="C200" s="50" t="s">
        <v>957</v>
      </c>
    </row>
    <row r="201" spans="2:3" x14ac:dyDescent="0.2">
      <c r="B201" s="8" t="s">
        <v>958</v>
      </c>
      <c r="C201" s="50" t="s">
        <v>959</v>
      </c>
    </row>
    <row r="202" spans="2:3" x14ac:dyDescent="0.2">
      <c r="B202" s="8" t="s">
        <v>960</v>
      </c>
      <c r="C202" s="50" t="s">
        <v>961</v>
      </c>
    </row>
    <row r="203" spans="2:3" x14ac:dyDescent="0.2">
      <c r="B203" s="8" t="s">
        <v>962</v>
      </c>
      <c r="C203" s="50" t="s">
        <v>244</v>
      </c>
    </row>
    <row r="204" spans="2:3" x14ac:dyDescent="0.2">
      <c r="B204" s="8" t="s">
        <v>963</v>
      </c>
      <c r="C204" s="50" t="s">
        <v>248</v>
      </c>
    </row>
    <row r="205" spans="2:3" x14ac:dyDescent="0.2">
      <c r="B205" s="8" t="s">
        <v>964</v>
      </c>
      <c r="C205" s="50" t="s">
        <v>965</v>
      </c>
    </row>
    <row r="206" spans="2:3" x14ac:dyDescent="0.2">
      <c r="B206" s="8" t="s">
        <v>966</v>
      </c>
      <c r="C206" s="50" t="s">
        <v>967</v>
      </c>
    </row>
    <row r="207" spans="2:3" x14ac:dyDescent="0.2">
      <c r="B207" s="8" t="s">
        <v>968</v>
      </c>
      <c r="C207" s="50" t="s">
        <v>969</v>
      </c>
    </row>
    <row r="208" spans="2:3" x14ac:dyDescent="0.2">
      <c r="B208" s="8" t="s">
        <v>970</v>
      </c>
      <c r="C208" s="50" t="s">
        <v>971</v>
      </c>
    </row>
    <row r="209" spans="2:3" x14ac:dyDescent="0.2">
      <c r="B209" s="8" t="s">
        <v>972</v>
      </c>
      <c r="C209" s="50" t="s">
        <v>973</v>
      </c>
    </row>
    <row r="210" spans="2:3" x14ac:dyDescent="0.2">
      <c r="B210" s="8" t="s">
        <v>974</v>
      </c>
      <c r="C210" s="50" t="s">
        <v>252</v>
      </c>
    </row>
    <row r="211" spans="2:3" x14ac:dyDescent="0.2">
      <c r="B211" s="8" t="s">
        <v>975</v>
      </c>
      <c r="C211" s="50" t="s">
        <v>976</v>
      </c>
    </row>
    <row r="212" spans="2:3" x14ac:dyDescent="0.2">
      <c r="B212" s="8" t="s">
        <v>977</v>
      </c>
      <c r="C212" s="50" t="s">
        <v>978</v>
      </c>
    </row>
    <row r="213" spans="2:3" x14ac:dyDescent="0.2">
      <c r="B213" s="8" t="s">
        <v>979</v>
      </c>
      <c r="C213" s="50" t="s">
        <v>980</v>
      </c>
    </row>
    <row r="214" spans="2:3" x14ac:dyDescent="0.2">
      <c r="B214" s="8" t="s">
        <v>981</v>
      </c>
      <c r="C214" s="50" t="s">
        <v>256</v>
      </c>
    </row>
    <row r="215" spans="2:3" x14ac:dyDescent="0.2">
      <c r="B215" s="8" t="s">
        <v>982</v>
      </c>
      <c r="C215" s="50" t="s">
        <v>260</v>
      </c>
    </row>
    <row r="216" spans="2:3" x14ac:dyDescent="0.2">
      <c r="B216" s="8" t="s">
        <v>983</v>
      </c>
      <c r="C216" s="50" t="s">
        <v>984</v>
      </c>
    </row>
    <row r="217" spans="2:3" x14ac:dyDescent="0.2">
      <c r="B217" s="8" t="s">
        <v>985</v>
      </c>
      <c r="C217" s="50" t="s">
        <v>986</v>
      </c>
    </row>
    <row r="218" spans="2:3" x14ac:dyDescent="0.2">
      <c r="B218" s="8" t="s">
        <v>987</v>
      </c>
      <c r="C218" s="50" t="s">
        <v>988</v>
      </c>
    </row>
    <row r="219" spans="2:3" x14ac:dyDescent="0.2">
      <c r="B219" s="8" t="s">
        <v>989</v>
      </c>
      <c r="C219" s="50" t="s">
        <v>990</v>
      </c>
    </row>
    <row r="220" spans="2:3" x14ac:dyDescent="0.2">
      <c r="B220" s="8" t="s">
        <v>991</v>
      </c>
      <c r="C220" s="50" t="s">
        <v>992</v>
      </c>
    </row>
    <row r="221" spans="2:3" x14ac:dyDescent="0.2">
      <c r="B221" s="8" t="s">
        <v>993</v>
      </c>
      <c r="C221" s="50" t="s">
        <v>994</v>
      </c>
    </row>
    <row r="222" spans="2:3" x14ac:dyDescent="0.2">
      <c r="B222" s="8" t="s">
        <v>995</v>
      </c>
      <c r="C222" s="50" t="s">
        <v>996</v>
      </c>
    </row>
    <row r="223" spans="2:3" x14ac:dyDescent="0.2">
      <c r="B223" s="8" t="s">
        <v>997</v>
      </c>
      <c r="C223" s="50" t="s">
        <v>998</v>
      </c>
    </row>
    <row r="224" spans="2:3" x14ac:dyDescent="0.2">
      <c r="B224" s="8" t="s">
        <v>999</v>
      </c>
      <c r="C224" s="50" t="s">
        <v>1000</v>
      </c>
    </row>
    <row r="225" spans="2:3" x14ac:dyDescent="0.2">
      <c r="B225" s="8" t="s">
        <v>1001</v>
      </c>
      <c r="C225" s="50" t="s">
        <v>1002</v>
      </c>
    </row>
    <row r="226" spans="2:3" x14ac:dyDescent="0.2">
      <c r="B226" s="8" t="s">
        <v>1003</v>
      </c>
      <c r="C226" s="50" t="s">
        <v>1004</v>
      </c>
    </row>
    <row r="227" spans="2:3" x14ac:dyDescent="0.2">
      <c r="B227" s="8" t="s">
        <v>1005</v>
      </c>
      <c r="C227" s="50" t="s">
        <v>264</v>
      </c>
    </row>
    <row r="228" spans="2:3" x14ac:dyDescent="0.2">
      <c r="B228" s="8" t="s">
        <v>1006</v>
      </c>
      <c r="C228" s="50" t="s">
        <v>1007</v>
      </c>
    </row>
    <row r="229" spans="2:3" x14ac:dyDescent="0.2">
      <c r="B229" s="8" t="s">
        <v>1008</v>
      </c>
      <c r="C229" s="50" t="s">
        <v>1009</v>
      </c>
    </row>
    <row r="230" spans="2:3" x14ac:dyDescent="0.2">
      <c r="B230" s="8" t="s">
        <v>1010</v>
      </c>
      <c r="C230" s="50" t="s">
        <v>1011</v>
      </c>
    </row>
    <row r="231" spans="2:3" x14ac:dyDescent="0.2">
      <c r="B231" s="8" t="s">
        <v>1012</v>
      </c>
      <c r="C231" s="50" t="s">
        <v>1013</v>
      </c>
    </row>
    <row r="232" spans="2:3" x14ac:dyDescent="0.2">
      <c r="B232" s="8" t="s">
        <v>1014</v>
      </c>
      <c r="C232" s="50" t="s">
        <v>268</v>
      </c>
    </row>
    <row r="233" spans="2:3" x14ac:dyDescent="0.2">
      <c r="B233" s="8" t="s">
        <v>1015</v>
      </c>
      <c r="C233" s="50" t="s">
        <v>1016</v>
      </c>
    </row>
    <row r="234" spans="2:3" x14ac:dyDescent="0.2">
      <c r="B234" s="8" t="s">
        <v>1017</v>
      </c>
      <c r="C234" s="50" t="s">
        <v>272</v>
      </c>
    </row>
    <row r="235" spans="2:3" x14ac:dyDescent="0.2">
      <c r="B235" s="8" t="s">
        <v>1018</v>
      </c>
      <c r="C235" s="50" t="s">
        <v>1019</v>
      </c>
    </row>
    <row r="236" spans="2:3" x14ac:dyDescent="0.2">
      <c r="B236" s="8" t="s">
        <v>1020</v>
      </c>
      <c r="C236" s="50" t="s">
        <v>1021</v>
      </c>
    </row>
    <row r="237" spans="2:3" x14ac:dyDescent="0.2">
      <c r="B237" s="8" t="s">
        <v>1022</v>
      </c>
      <c r="C237" s="50" t="s">
        <v>1023</v>
      </c>
    </row>
    <row r="238" spans="2:3" x14ac:dyDescent="0.2">
      <c r="B238" s="8" t="s">
        <v>1024</v>
      </c>
      <c r="C238" s="50" t="s">
        <v>1025</v>
      </c>
    </row>
    <row r="239" spans="2:3" x14ac:dyDescent="0.2">
      <c r="B239" s="8" t="s">
        <v>1026</v>
      </c>
      <c r="C239" s="50" t="s">
        <v>1027</v>
      </c>
    </row>
    <row r="240" spans="2:3" x14ac:dyDescent="0.2">
      <c r="B240" s="8" t="s">
        <v>1028</v>
      </c>
      <c r="C240" s="50" t="s">
        <v>1029</v>
      </c>
    </row>
    <row r="241" spans="2:3" x14ac:dyDescent="0.2">
      <c r="B241" s="8" t="s">
        <v>1030</v>
      </c>
      <c r="C241" s="50" t="s">
        <v>1031</v>
      </c>
    </row>
    <row r="242" spans="2:3" x14ac:dyDescent="0.2">
      <c r="B242" s="8" t="s">
        <v>1032</v>
      </c>
      <c r="C242" s="50" t="s">
        <v>1033</v>
      </c>
    </row>
    <row r="243" spans="2:3" x14ac:dyDescent="0.2">
      <c r="B243" s="8" t="s">
        <v>1034</v>
      </c>
      <c r="C243" s="50" t="s">
        <v>1035</v>
      </c>
    </row>
    <row r="244" spans="2:3" x14ac:dyDescent="0.2">
      <c r="B244" s="8" t="s">
        <v>1036</v>
      </c>
      <c r="C244" s="50" t="s">
        <v>1037</v>
      </c>
    </row>
    <row r="245" spans="2:3" x14ac:dyDescent="0.2">
      <c r="B245" s="8" t="s">
        <v>1038</v>
      </c>
      <c r="C245" s="50" t="s">
        <v>1039</v>
      </c>
    </row>
    <row r="246" spans="2:3" x14ac:dyDescent="0.2">
      <c r="B246" s="8" t="s">
        <v>1040</v>
      </c>
      <c r="C246" s="50" t="s">
        <v>1041</v>
      </c>
    </row>
    <row r="247" spans="2:3" x14ac:dyDescent="0.2">
      <c r="B247" s="8" t="s">
        <v>1042</v>
      </c>
      <c r="C247" s="50" t="s">
        <v>1043</v>
      </c>
    </row>
    <row r="248" spans="2:3" x14ac:dyDescent="0.2">
      <c r="B248" s="8" t="s">
        <v>1044</v>
      </c>
      <c r="C248" s="50" t="s">
        <v>1045</v>
      </c>
    </row>
  </sheetData>
  <sheetProtection algorithmName="SHA-512" hashValue="RW1VNZr3dLPNstQWfsQS0ETvvp+YgzW9QckNYuoTTFqHXTq8N/hBvj6ukzZoQIRDGJQHhDTagnAHCne3Ux4qpQ==" saltValue="vvVzHEhz1qhIQoyrpn4CXA==" spinCount="100000" sheet="1" objects="1" scenarios="1"/>
  <sortState xmlns:xlrd2="http://schemas.microsoft.com/office/spreadsheetml/2017/richdata2" ref="H3:I90">
    <sortCondition ref="H3:H90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J1"/>
  <sheetViews>
    <sheetView zoomScale="85" zoomScaleNormal="85" workbookViewId="0">
      <selection activeCell="D3" sqref="D3"/>
    </sheetView>
  </sheetViews>
  <sheetFormatPr defaultColWidth="16.5703125" defaultRowHeight="15" x14ac:dyDescent="0.25"/>
  <cols>
    <col min="1" max="1" width="10.85546875" bestFit="1" customWidth="1"/>
    <col min="2" max="2" width="11.140625" bestFit="1" customWidth="1"/>
    <col min="3" max="3" width="14" bestFit="1" customWidth="1"/>
    <col min="4" max="4" width="15.42578125" bestFit="1" customWidth="1"/>
    <col min="5" max="5" width="29.85546875" bestFit="1" customWidth="1"/>
    <col min="6" max="6" width="17.5703125" bestFit="1" customWidth="1"/>
    <col min="7" max="7" width="20" bestFit="1" customWidth="1"/>
    <col min="8" max="8" width="29.5703125" bestFit="1" customWidth="1"/>
    <col min="9" max="9" width="32.42578125" bestFit="1" customWidth="1"/>
    <col min="10" max="10" width="24.42578125" bestFit="1" customWidth="1"/>
    <col min="11" max="11" width="23.140625" bestFit="1" customWidth="1"/>
    <col min="12" max="12" width="11.140625" bestFit="1" customWidth="1"/>
    <col min="13" max="13" width="16.28515625" bestFit="1" customWidth="1"/>
    <col min="14" max="14" width="19.140625" bestFit="1" customWidth="1"/>
    <col min="15" max="15" width="10.140625" bestFit="1" customWidth="1"/>
    <col min="16" max="16" width="7" bestFit="1" customWidth="1"/>
    <col min="17" max="17" width="9" bestFit="1" customWidth="1"/>
    <col min="18" max="18" width="14.28515625" bestFit="1" customWidth="1"/>
    <col min="19" max="19" width="24.7109375" bestFit="1" customWidth="1"/>
    <col min="20" max="20" width="20" bestFit="1" customWidth="1"/>
    <col min="21" max="21" width="11.85546875" bestFit="1" customWidth="1"/>
    <col min="22" max="22" width="8.140625" bestFit="1" customWidth="1"/>
    <col min="23" max="23" width="17.7109375" bestFit="1" customWidth="1"/>
    <col min="24" max="24" width="26.42578125" bestFit="1" customWidth="1"/>
    <col min="25" max="25" width="13.85546875" bestFit="1" customWidth="1"/>
    <col min="26" max="26" width="23.85546875" bestFit="1" customWidth="1"/>
    <col min="27" max="27" width="29.85546875" bestFit="1" customWidth="1"/>
    <col min="28" max="28" width="9.140625" bestFit="1" customWidth="1"/>
    <col min="29" max="29" width="19.7109375" bestFit="1" customWidth="1"/>
    <col min="30" max="30" width="18.42578125" bestFit="1" customWidth="1"/>
    <col min="31" max="31" width="22.85546875" bestFit="1" customWidth="1"/>
    <col min="32" max="32" width="13.85546875" bestFit="1" customWidth="1"/>
    <col min="33" max="33" width="16.85546875" bestFit="1" customWidth="1"/>
    <col min="34" max="34" width="26.28515625" bestFit="1" customWidth="1"/>
    <col min="35" max="35" width="11" bestFit="1" customWidth="1"/>
    <col min="36" max="36" width="17.42578125" bestFit="1" customWidth="1"/>
  </cols>
  <sheetData>
    <row r="1" spans="1:36" s="16" customFormat="1" x14ac:dyDescent="0.25">
      <c r="A1" s="18" t="s">
        <v>16</v>
      </c>
      <c r="B1" s="17" t="s">
        <v>552</v>
      </c>
      <c r="C1" s="17" t="s">
        <v>553</v>
      </c>
      <c r="D1" s="17" t="s">
        <v>554</v>
      </c>
      <c r="E1" s="17" t="s">
        <v>555</v>
      </c>
      <c r="F1" s="17" t="s">
        <v>556</v>
      </c>
      <c r="G1" s="17" t="s">
        <v>557</v>
      </c>
      <c r="H1" s="17" t="s">
        <v>558</v>
      </c>
      <c r="I1" s="17" t="s">
        <v>559</v>
      </c>
      <c r="J1" s="17" t="s">
        <v>593</v>
      </c>
      <c r="K1" s="17" t="s">
        <v>560</v>
      </c>
      <c r="L1" s="17" t="s">
        <v>561</v>
      </c>
      <c r="M1" s="17" t="s">
        <v>562</v>
      </c>
      <c r="N1" s="17" t="s">
        <v>563</v>
      </c>
      <c r="O1" s="17" t="s">
        <v>564</v>
      </c>
      <c r="P1" s="17" t="s">
        <v>565</v>
      </c>
      <c r="Q1" s="17" t="s">
        <v>566</v>
      </c>
      <c r="R1" s="17" t="s">
        <v>567</v>
      </c>
      <c r="S1" s="17" t="s">
        <v>568</v>
      </c>
      <c r="T1" s="17" t="s">
        <v>569</v>
      </c>
      <c r="U1" s="17" t="s">
        <v>570</v>
      </c>
      <c r="V1" s="17" t="s">
        <v>571</v>
      </c>
      <c r="W1" s="17" t="s">
        <v>572</v>
      </c>
      <c r="X1" s="17" t="s">
        <v>573</v>
      </c>
      <c r="Y1" s="17" t="s">
        <v>574</v>
      </c>
      <c r="Z1" s="17" t="s">
        <v>575</v>
      </c>
      <c r="AA1" s="19" t="s">
        <v>576</v>
      </c>
      <c r="AB1" s="48" t="s">
        <v>577</v>
      </c>
      <c r="AC1" s="48" t="s">
        <v>580</v>
      </c>
      <c r="AD1" s="48" t="s">
        <v>578</v>
      </c>
      <c r="AE1" s="48" t="s">
        <v>579</v>
      </c>
      <c r="AF1" s="48" t="s">
        <v>581</v>
      </c>
      <c r="AG1" s="48" t="s">
        <v>582</v>
      </c>
      <c r="AH1" s="48" t="s">
        <v>583</v>
      </c>
      <c r="AI1" s="48" t="s">
        <v>584</v>
      </c>
      <c r="AJ1" s="48" t="s">
        <v>585</v>
      </c>
    </row>
  </sheetData>
  <sheetProtection algorithmName="SHA-512" hashValue="FEpsucJWq+HOcSQk0hXOMRDeWiJJ/CxuRukSUz1S4su6RM79WvMqHWtEdPCXL+6TFWpx5RmdkqzRFjtOVFBCBA==" saltValue="IrM9DNlHJiK36q6H2Okgpw==" spinCount="100000" sheet="1" objects="1" scenarios="1"/>
  <sortState xmlns:xlrd2="http://schemas.microsoft.com/office/spreadsheetml/2017/richdata2" ref="A2:AA2">
    <sortCondition ref="A2"/>
    <sortCondition descending="1" ref="G2"/>
  </sortState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EBE1F8900046498A134CBDC44776D2" ma:contentTypeVersion="14" ma:contentTypeDescription="Create a new document." ma:contentTypeScope="" ma:versionID="e8292de06dc6bdec5c97f5af40f29cdc">
  <xsd:schema xmlns:xsd="http://www.w3.org/2001/XMLSchema" xmlns:xs="http://www.w3.org/2001/XMLSchema" xmlns:p="http://schemas.microsoft.com/office/2006/metadata/properties" xmlns:ns2="c8827239-712f-421d-a81e-742e0df64d44" xmlns:ns3="b33f1612-3247-4701-92c4-82416ea2779d" targetNamespace="http://schemas.microsoft.com/office/2006/metadata/properties" ma:root="true" ma:fieldsID="eb861e5c76b86c09a5809ea6a1ba480d" ns2:_="" ns3:_="">
    <xsd:import namespace="c8827239-712f-421d-a81e-742e0df64d44"/>
    <xsd:import namespace="b33f1612-3247-4701-92c4-82416ea2779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Info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827239-712f-421d-a81e-742e0df64d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Info" ma:index="20" nillable="true" ma:displayName="Info" ma:format="Dropdown" ma:internalName="Info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3f1612-3247-4701-92c4-82416ea2779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nfo xmlns="c8827239-712f-421d-a81e-742e0df64d44" xsi:nil="true"/>
  </documentManagement>
</p:properties>
</file>

<file path=customXml/itemProps1.xml><?xml version="1.0" encoding="utf-8"?>
<ds:datastoreItem xmlns:ds="http://schemas.openxmlformats.org/officeDocument/2006/customXml" ds:itemID="{684CB78D-18F4-4927-9E7B-AABEF428002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EC0602E-F87F-41D4-9FD0-546E57A94D7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827239-712f-421d-a81e-742e0df64d44"/>
    <ds:schemaRef ds:uri="b33f1612-3247-4701-92c4-82416ea2779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CFED437-54C7-4382-AEBA-D81B061486E3}">
  <ds:schemaRefs>
    <ds:schemaRef ds:uri="http://purl.org/dc/terms/"/>
    <ds:schemaRef ds:uri="b33f1612-3247-4701-92c4-82416ea2779d"/>
    <ds:schemaRef ds:uri="http://schemas.microsoft.com/office/infopath/2007/PartnerControls"/>
    <ds:schemaRef ds:uri="http://purl.org/dc/dcmitype/"/>
    <ds:schemaRef ds:uri="http://www.w3.org/XML/1998/namespace"/>
    <ds:schemaRef ds:uri="http://schemas.microsoft.com/office/2006/documentManagement/types"/>
    <ds:schemaRef ds:uri="http://purl.org/dc/elements/1.1/"/>
    <ds:schemaRef ds:uri="c8827239-712f-421d-a81e-742e0df64d44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Input</vt:lpstr>
      <vt:lpstr>Ref_Sheet</vt:lpstr>
      <vt:lpstr>MDI_Template</vt:lpstr>
      <vt:lpstr>Copy_Range</vt:lpstr>
      <vt:lpstr>Ctrl_Check</vt:lpstr>
      <vt:lpstr>Hidden_Range</vt:lpstr>
      <vt:lpstr>Input_Range</vt:lpstr>
      <vt:lpstr>Line_Flag</vt:lpstr>
      <vt:lpstr>MDI_Copy_Range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2021-10-15T10:26:09Z</dcterms:created>
  <dcterms:modified xsi:type="dcterms:W3CDTF">2022-05-03T10:55:54Z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0x0101007BEBE1F8900046498A134CBDC44776D2</vt:lpwstr>
  </property>
</Properties>
</file>